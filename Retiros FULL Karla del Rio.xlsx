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 -015\Downloads\"/>
    </mc:Choice>
  </mc:AlternateContent>
  <xr:revisionPtr revIDLastSave="0" documentId="13_ncr:1_{612C292D-7AB8-489F-B45C-C30B59CA5660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Retiros Almacen 1 6552487" sheetId="1" r:id="rId1"/>
    <sheet name="Retiros Almacen 2 7226075" sheetId="3" r:id="rId2"/>
  </sheets>
  <definedNames>
    <definedName name="_xlnm._FilterDatabase" localSheetId="0" hidden="1">'Retiros Almacen 1 6552487'!$B$6:$U$16</definedName>
    <definedName name="_xlnm._FilterDatabase" localSheetId="1" hidden="1">'Retiros Almacen 2 7226075'!$B$6:$U$25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3" l="1"/>
  <c r="U25" i="3"/>
  <c r="T25" i="3"/>
  <c r="U24" i="3"/>
  <c r="T24" i="3"/>
  <c r="U23" i="3"/>
  <c r="T23" i="3"/>
  <c r="U22" i="3"/>
  <c r="T22" i="3"/>
  <c r="T21" i="3"/>
  <c r="D21" i="3"/>
  <c r="U21" i="3" s="1"/>
  <c r="U20" i="3"/>
  <c r="T20" i="3"/>
  <c r="U19" i="3"/>
  <c r="T19" i="3"/>
  <c r="U18" i="3"/>
  <c r="T18" i="3"/>
  <c r="T17" i="3"/>
  <c r="D17" i="3"/>
  <c r="U17" i="3" s="1"/>
  <c r="U16" i="3"/>
  <c r="T16" i="3"/>
  <c r="U15" i="3"/>
  <c r="T15" i="3"/>
  <c r="U14" i="3"/>
  <c r="T14" i="3"/>
  <c r="T13" i="3"/>
  <c r="D13" i="3"/>
  <c r="U13" i="3" s="1"/>
  <c r="U12" i="3"/>
  <c r="T12" i="3"/>
  <c r="U11" i="3"/>
  <c r="T11" i="3"/>
  <c r="U10" i="3"/>
  <c r="T10" i="3"/>
  <c r="T9" i="3"/>
  <c r="D9" i="3"/>
  <c r="U9" i="3" s="1"/>
  <c r="U8" i="3"/>
  <c r="T8" i="3"/>
  <c r="U7" i="3"/>
  <c r="T7" i="3"/>
  <c r="S18" i="1"/>
  <c r="R18" i="1"/>
  <c r="Q18" i="1"/>
  <c r="P18" i="1"/>
  <c r="O18" i="1"/>
  <c r="N18" i="1"/>
  <c r="M18" i="1"/>
  <c r="L18" i="1"/>
  <c r="K18" i="1"/>
  <c r="J18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</calcChain>
</file>

<file path=xl/sharedStrings.xml><?xml version="1.0" encoding="utf-8"?>
<sst xmlns="http://schemas.openxmlformats.org/spreadsheetml/2006/main" count="135" uniqueCount="60">
  <si>
    <t xml:space="preserve">RETIROS FULL </t>
  </si>
  <si>
    <t xml:space="preserve">ENVIOS CON PROBLEMAS </t>
  </si>
  <si>
    <t>PIEZAS ENTREGADAS</t>
  </si>
  <si>
    <t># Retiro</t>
  </si>
  <si>
    <t>Solicitud de Retiro por ML</t>
  </si>
  <si>
    <t>Piezas</t>
  </si>
  <si>
    <t>Producto</t>
  </si>
  <si>
    <t># Item</t>
  </si>
  <si>
    <t>Quién Recibe</t>
  </si>
  <si>
    <t>Dirección</t>
  </si>
  <si>
    <t>Fecha de Entrega</t>
  </si>
  <si>
    <t>1er Entrega se recibe el 06/04/26</t>
  </si>
  <si>
    <t>2da Entrega se recibe el 07/04/26</t>
  </si>
  <si>
    <t>3era Entrega se recibe el 08/04/26</t>
  </si>
  <si>
    <t>4ta Entrega se recibe el 09/04/26</t>
  </si>
  <si>
    <t>5ta Entrega Se recibe el 14/04/26</t>
  </si>
  <si>
    <t>6ta Entrega Se recibe el 17/04/26</t>
  </si>
  <si>
    <t>7ma Entrega Se recibe el 21/04/26</t>
  </si>
  <si>
    <t>8va Entrega Se recibe el 22/04/26</t>
  </si>
  <si>
    <t>9na Entrega Se recibe el 27/04/26</t>
  </si>
  <si>
    <t>10ma Entrega Se recibe el 29/04/26</t>
  </si>
  <si>
    <t>Total Entregado</t>
  </si>
  <si>
    <t>Cantidad pendiente por recibir</t>
  </si>
  <si>
    <t>Kit Señalización Profesional Para Tienda Autorizada Amarillo</t>
  </si>
  <si>
    <t>Brian</t>
  </si>
  <si>
    <t>Simón Bolivar</t>
  </si>
  <si>
    <t>Pack De 4 Cordones  Representante</t>
  </si>
  <si>
    <t>Pack De Manuales  Cliente Representantes</t>
  </si>
  <si>
    <t>Playera Dry-fit Representante Mercado Pago | Hombre | M</t>
  </si>
  <si>
    <t>Playera Dry-fit Representante Mercado Pago | Hombre | XL</t>
  </si>
  <si>
    <t>Playera Dry-fit Representante Mercado Pago | Mujer | G</t>
  </si>
  <si>
    <t>Playera Dry-fit Representante Mercado Pago | Mujer | XL</t>
  </si>
  <si>
    <t>Rompevientos Representantes Mercado Pago | L</t>
  </si>
  <si>
    <t>Rompevientos Representantes Mercado Pago | S</t>
  </si>
  <si>
    <t>Rompevientos Representantes Mercado Pago | XL</t>
  </si>
  <si>
    <t>TOTAL</t>
  </si>
  <si>
    <t xml:space="preserve">Reporte ML </t>
  </si>
  <si>
    <t>1er Entrega se recibe el 11/05/26</t>
  </si>
  <si>
    <t>2da Entrega se recibe el 12/05/26</t>
  </si>
  <si>
    <t>3era Entrega se recibe el 13/05/26</t>
  </si>
  <si>
    <t>4ta Entrega se recibe el 14/05/26</t>
  </si>
  <si>
    <t>5ta Entrega Se recibe el 15/5/26</t>
  </si>
  <si>
    <t>6ta Entrega Se recibe el  20/5/26</t>
  </si>
  <si>
    <t>7ma Entrega Se recibe el 21/5/26</t>
  </si>
  <si>
    <t>8va Entrega Se recibe el 19/06/26</t>
  </si>
  <si>
    <t xml:space="preserve">9na Entrega Se recibe el </t>
  </si>
  <si>
    <t xml:space="preserve">10ma Entrega Se recibe el </t>
  </si>
  <si>
    <t>Total recibido</t>
  </si>
  <si>
    <t>Kit Para Representantes De Mercado Pago - Hombre | G</t>
  </si>
  <si>
    <t>Kit Para Representantes De Mercado Pago - Hombre | M</t>
  </si>
  <si>
    <t>Kit Para Representantes De Mercado Pago - Hombre | S</t>
  </si>
  <si>
    <t>Kit Para Representantes De Mercado Pago - Hombre | XL</t>
  </si>
  <si>
    <t>Kit Para Representantes De Mercado Pago - Mujer | G</t>
  </si>
  <si>
    <t>Kit Para Representantes De Mercado Pago - Mujer | M</t>
  </si>
  <si>
    <t>Kit Para Representantes De Mercado Pago - Mujer | S</t>
  </si>
  <si>
    <t>Kit Para Representantes De Mercado Pago - Mujer | XL</t>
  </si>
  <si>
    <t>Playera Dry-fit Representante Mercado Pago | Hombre | G</t>
  </si>
  <si>
    <t>Playera Dry-fit Representante Mercado Pago | Hombre | S</t>
  </si>
  <si>
    <t>Playera Dry-fit Representante Mercado Pago | Mujer | M</t>
  </si>
  <si>
    <t>Playera Dry-fit Representante Mercado Pago | Mujer |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</si>
</sst>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2">
    <font>
      <sz val="10"/>
      <color rgb="FF000000"/>
      <name val="Arial"/>
      <scheme val="minor"/>
    </font>
    <font>
      <sz val="8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rgb="FFFFFFFF"/>
      <name val="Arial"/>
      <scheme val="minor"/>
    </font>
    <font>
      <sz val="10"/>
      <name val="Arial"/>
    </font>
    <font>
      <b/>
      <sz val="14"/>
      <color rgb="FFFFFFFF"/>
      <name val="Arial"/>
      <scheme val="minor"/>
    </font>
    <font>
      <b/>
      <sz val="12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&quot;Proxima Nova&quot;"/>
    </font>
    <font>
      <sz val="10"/>
      <color theme="1"/>
      <name val="Arial"/>
    </font>
    <font>
      <sz val="9"/>
      <color rgb="FF000000"/>
      <name val="&quot;Proxima Nova&quot;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9" fillId="6" borderId="5" xfId="0" applyFont="1" applyFill="1" applyBorder="1" applyAlignment="1">
      <alignment wrapText="1"/>
    </xf>
    <xf numFmtId="14" fontId="2" fillId="0" borderId="5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64" fontId="2" fillId="0" borderId="5" xfId="0" applyNumberFormat="1" applyFont="1" applyBorder="1" applyAlignment="1">
      <alignment wrapText="1"/>
    </xf>
    <xf numFmtId="0" fontId="2" fillId="7" borderId="5" xfId="0" applyFont="1" applyFill="1" applyBorder="1" applyAlignment="1">
      <alignment horizontal="center" wrapText="1"/>
    </xf>
    <xf numFmtId="0" fontId="9" fillId="6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8" fillId="8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942975</xdr:colOff>
      <xdr:row>4</xdr:row>
      <xdr:rowOff>200025</xdr:rowOff>
    </xdr:from>
    <xdr:ext cx="11449050" cy="461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26</xdr:row>
      <xdr:rowOff>0</xdr:rowOff>
    </xdr:from>
    <xdr:ext cx="11458575" cy="440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35</xdr:row>
      <xdr:rowOff>0</xdr:rowOff>
    </xdr:from>
    <xdr:ext cx="11458575" cy="440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942975</xdr:colOff>
      <xdr:row>4</xdr:row>
      <xdr:rowOff>200025</xdr:rowOff>
    </xdr:from>
    <xdr:ext cx="11449050" cy="461010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001"/>
  <sheetViews>
    <sheetView tabSelected="1" workbookViewId="0">
      <selection activeCell="U23" sqref="U23"/>
    </sheetView>
  </sheetViews>
  <sheetFormatPr baseColWidth="10" defaultColWidth="12.6640625" defaultRowHeight="12.55" outlineLevelRow="1"/>
  <cols>
    <col min="1" max="2" width="12.6640625" style="12"/>
    <col min="3" max="3" width="19.44140625" style="12" customWidth="1"/>
    <col min="4" max="4" width="12.6640625" style="12"/>
    <col min="5" max="5" width="49.109375" style="12" customWidth="1"/>
    <col min="6" max="6" width="16.77734375" style="12" customWidth="1"/>
    <col min="7" max="7" width="16" style="12" customWidth="1"/>
    <col min="8" max="8" width="14.6640625" style="12" customWidth="1"/>
    <col min="9" max="9" width="17.77734375" style="12" customWidth="1"/>
    <col min="10" max="10" width="17.88671875" style="12" customWidth="1"/>
    <col min="11" max="20" width="12.6640625" style="12"/>
    <col min="21" max="21" width="17.6640625" style="12" customWidth="1"/>
    <col min="22" max="22" width="12.6640625" style="12"/>
    <col min="23" max="23" width="22.77734375" style="12" customWidth="1"/>
    <col min="24" max="24" width="1.77734375" style="12" customWidth="1"/>
    <col min="25" max="16384" width="12.6640625" style="12"/>
  </cols>
  <sheetData>
    <row r="1" spans="1:48">
      <c r="A1" s="11"/>
      <c r="X1" s="13"/>
    </row>
    <row r="2" spans="1:48">
      <c r="X2" s="13"/>
    </row>
    <row r="3" spans="1:48" ht="30.05">
      <c r="B3" s="14" t="s">
        <v>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X3" s="13"/>
      <c r="Z3" s="16" t="s">
        <v>1</v>
      </c>
    </row>
    <row r="4" spans="1:48" outlineLevel="1">
      <c r="X4" s="13"/>
      <c r="AJ4" s="16">
        <v>140</v>
      </c>
    </row>
    <row r="5" spans="1:48" ht="15.05" outlineLevel="1">
      <c r="G5" s="16"/>
      <c r="H5" s="16"/>
      <c r="I5" s="16"/>
      <c r="J5" s="10" t="s">
        <v>2</v>
      </c>
      <c r="K5" s="17"/>
      <c r="L5" s="17"/>
      <c r="M5" s="17"/>
      <c r="N5" s="18"/>
      <c r="O5" s="1"/>
      <c r="P5" s="1"/>
      <c r="Q5" s="1"/>
      <c r="R5" s="1"/>
      <c r="S5" s="1"/>
      <c r="T5" s="1"/>
      <c r="X5" s="13"/>
    </row>
    <row r="6" spans="1:48" ht="60.1" outlineLevel="1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5" t="s">
        <v>22</v>
      </c>
      <c r="X6" s="13"/>
      <c r="AF6" s="6"/>
      <c r="AG6" s="6"/>
      <c r="AH6" s="7"/>
      <c r="AI6" s="7"/>
      <c r="AJ6" s="7"/>
      <c r="AK6" s="7"/>
      <c r="AL6" s="6"/>
      <c r="AM6" s="6"/>
      <c r="AN6" s="8"/>
      <c r="AO6" s="9"/>
      <c r="AP6" s="9"/>
      <c r="AQ6" s="7"/>
      <c r="AR6" s="7"/>
      <c r="AS6" s="7"/>
      <c r="AT6" s="7"/>
      <c r="AU6" s="19"/>
      <c r="AV6" s="19"/>
    </row>
    <row r="7" spans="1:48" ht="14.4">
      <c r="B7" s="20">
        <v>6552487</v>
      </c>
      <c r="C7" s="21">
        <v>46107</v>
      </c>
      <c r="D7" s="22">
        <v>21</v>
      </c>
      <c r="E7" s="23" t="s">
        <v>23</v>
      </c>
      <c r="F7" s="24">
        <v>4185624562</v>
      </c>
      <c r="G7" s="25" t="s">
        <v>24</v>
      </c>
      <c r="H7" s="25" t="s">
        <v>25</v>
      </c>
      <c r="I7" s="22"/>
      <c r="J7" s="25"/>
      <c r="K7" s="25">
        <v>16</v>
      </c>
      <c r="L7" s="25">
        <v>1</v>
      </c>
      <c r="M7" s="25"/>
      <c r="N7" s="25"/>
      <c r="O7" s="25"/>
      <c r="P7" s="25"/>
      <c r="Q7" s="25"/>
      <c r="R7" s="25"/>
      <c r="S7" s="25"/>
      <c r="T7" s="25">
        <f t="shared" ref="T7:T16" si="0">J7+K7+L7+M7+N7+O7+P7+Q7+R7+S7</f>
        <v>17</v>
      </c>
      <c r="U7" s="25">
        <f t="shared" ref="U7:U16" si="1">D7-J7-K7-L7-M7-N7-O7-P7-Q7-R7-S7</f>
        <v>4</v>
      </c>
      <c r="X7" s="13"/>
    </row>
    <row r="8" spans="1:48" ht="14.4">
      <c r="B8" s="20">
        <v>6552487</v>
      </c>
      <c r="C8" s="21">
        <v>46107</v>
      </c>
      <c r="D8" s="22">
        <v>27</v>
      </c>
      <c r="E8" s="23" t="s">
        <v>26</v>
      </c>
      <c r="F8" s="24">
        <v>3334304802</v>
      </c>
      <c r="G8" s="25" t="s">
        <v>24</v>
      </c>
      <c r="H8" s="25" t="s">
        <v>25</v>
      </c>
      <c r="I8" s="26"/>
      <c r="J8" s="25">
        <v>2</v>
      </c>
      <c r="K8" s="25"/>
      <c r="L8" s="25">
        <v>16</v>
      </c>
      <c r="M8" s="25"/>
      <c r="N8" s="25"/>
      <c r="O8" s="25"/>
      <c r="P8" s="25"/>
      <c r="Q8" s="25"/>
      <c r="R8" s="25"/>
      <c r="S8" s="25"/>
      <c r="T8" s="25">
        <f t="shared" si="0"/>
        <v>18</v>
      </c>
      <c r="U8" s="25">
        <f t="shared" si="1"/>
        <v>9</v>
      </c>
      <c r="X8" s="13"/>
    </row>
    <row r="9" spans="1:48" ht="14.4">
      <c r="B9" s="20">
        <v>6552487</v>
      </c>
      <c r="C9" s="21">
        <v>46107</v>
      </c>
      <c r="D9" s="22">
        <v>316</v>
      </c>
      <c r="E9" s="23" t="s">
        <v>27</v>
      </c>
      <c r="F9" s="24">
        <v>3053828944</v>
      </c>
      <c r="G9" s="25" t="s">
        <v>24</v>
      </c>
      <c r="H9" s="25" t="s">
        <v>25</v>
      </c>
      <c r="I9" s="26"/>
      <c r="J9" s="25">
        <v>89</v>
      </c>
      <c r="K9" s="25"/>
      <c r="L9" s="25"/>
      <c r="M9" s="25"/>
      <c r="N9" s="25"/>
      <c r="O9" s="25">
        <v>21</v>
      </c>
      <c r="P9" s="25">
        <v>109</v>
      </c>
      <c r="Q9" s="25">
        <v>24</v>
      </c>
      <c r="R9" s="25"/>
      <c r="S9" s="25">
        <v>73</v>
      </c>
      <c r="T9" s="25">
        <f t="shared" si="0"/>
        <v>316</v>
      </c>
      <c r="U9" s="25">
        <f t="shared" si="1"/>
        <v>0</v>
      </c>
      <c r="X9" s="13"/>
    </row>
    <row r="10" spans="1:48" ht="14.4">
      <c r="B10" s="20">
        <v>6552487</v>
      </c>
      <c r="C10" s="21"/>
      <c r="D10" s="22">
        <v>131</v>
      </c>
      <c r="E10" s="23" t="s">
        <v>28</v>
      </c>
      <c r="F10" s="24"/>
      <c r="G10" s="25" t="s">
        <v>24</v>
      </c>
      <c r="H10" s="25" t="s">
        <v>25</v>
      </c>
      <c r="I10" s="26"/>
      <c r="J10" s="25"/>
      <c r="K10" s="25">
        <v>95</v>
      </c>
      <c r="L10" s="25">
        <v>12</v>
      </c>
      <c r="M10" s="25">
        <v>3</v>
      </c>
      <c r="N10" s="25"/>
      <c r="O10" s="25">
        <v>21</v>
      </c>
      <c r="P10" s="25"/>
      <c r="Q10" s="25"/>
      <c r="R10" s="25"/>
      <c r="S10" s="25"/>
      <c r="T10" s="25">
        <f t="shared" si="0"/>
        <v>131</v>
      </c>
      <c r="U10" s="25">
        <f t="shared" si="1"/>
        <v>0</v>
      </c>
      <c r="X10" s="13"/>
    </row>
    <row r="11" spans="1:48" ht="14.4">
      <c r="B11" s="20">
        <v>6552487</v>
      </c>
      <c r="C11" s="21">
        <v>46107</v>
      </c>
      <c r="D11" s="22">
        <v>118</v>
      </c>
      <c r="E11" s="23" t="s">
        <v>29</v>
      </c>
      <c r="F11" s="24">
        <v>4124313398</v>
      </c>
      <c r="G11" s="25" t="s">
        <v>24</v>
      </c>
      <c r="H11" s="25" t="s">
        <v>25</v>
      </c>
      <c r="I11" s="26"/>
      <c r="J11" s="25">
        <v>29</v>
      </c>
      <c r="K11" s="25"/>
      <c r="L11" s="25"/>
      <c r="M11" s="25"/>
      <c r="N11" s="25"/>
      <c r="O11" s="25">
        <v>6</v>
      </c>
      <c r="P11" s="25">
        <v>37</v>
      </c>
      <c r="Q11" s="25"/>
      <c r="R11" s="25">
        <v>1</v>
      </c>
      <c r="S11" s="25"/>
      <c r="T11" s="25">
        <f t="shared" si="0"/>
        <v>73</v>
      </c>
      <c r="U11" s="25">
        <f t="shared" si="1"/>
        <v>45</v>
      </c>
      <c r="X11" s="13"/>
    </row>
    <row r="12" spans="1:48" ht="14.4">
      <c r="B12" s="20">
        <v>6552487</v>
      </c>
      <c r="C12" s="21">
        <v>46107</v>
      </c>
      <c r="D12" s="22">
        <v>141</v>
      </c>
      <c r="E12" s="23" t="s">
        <v>30</v>
      </c>
      <c r="F12" s="24">
        <v>4124198104</v>
      </c>
      <c r="G12" s="25" t="s">
        <v>24</v>
      </c>
      <c r="H12" s="25" t="s">
        <v>25</v>
      </c>
      <c r="I12" s="26"/>
      <c r="J12" s="25">
        <v>22</v>
      </c>
      <c r="K12" s="25"/>
      <c r="L12" s="25"/>
      <c r="M12" s="25"/>
      <c r="N12" s="25">
        <v>1</v>
      </c>
      <c r="O12" s="25">
        <v>23</v>
      </c>
      <c r="P12" s="25">
        <v>51</v>
      </c>
      <c r="Q12" s="25"/>
      <c r="R12" s="25"/>
      <c r="S12" s="25">
        <v>38</v>
      </c>
      <c r="T12" s="25">
        <f t="shared" si="0"/>
        <v>135</v>
      </c>
      <c r="U12" s="25">
        <f t="shared" si="1"/>
        <v>6</v>
      </c>
      <c r="X12" s="13"/>
    </row>
    <row r="13" spans="1:48" ht="14.4">
      <c r="B13" s="20">
        <v>6552487</v>
      </c>
      <c r="C13" s="21">
        <v>46107</v>
      </c>
      <c r="D13" s="22">
        <v>35</v>
      </c>
      <c r="E13" s="23" t="s">
        <v>31</v>
      </c>
      <c r="F13" s="24">
        <v>4124198104</v>
      </c>
      <c r="G13" s="25" t="s">
        <v>24</v>
      </c>
      <c r="H13" s="25" t="s">
        <v>25</v>
      </c>
      <c r="I13" s="26"/>
      <c r="J13" s="25"/>
      <c r="K13" s="25">
        <v>23</v>
      </c>
      <c r="L13" s="25"/>
      <c r="M13" s="25"/>
      <c r="N13" s="25"/>
      <c r="O13" s="25"/>
      <c r="P13" s="25">
        <v>10</v>
      </c>
      <c r="Q13" s="25"/>
      <c r="R13" s="25"/>
      <c r="S13" s="25"/>
      <c r="T13" s="25">
        <f t="shared" si="0"/>
        <v>33</v>
      </c>
      <c r="U13" s="25">
        <f t="shared" si="1"/>
        <v>2</v>
      </c>
      <c r="X13" s="13"/>
    </row>
    <row r="14" spans="1:48" ht="14.4">
      <c r="B14" s="20">
        <v>6552487</v>
      </c>
      <c r="C14" s="21">
        <v>46107</v>
      </c>
      <c r="D14" s="22">
        <v>46</v>
      </c>
      <c r="E14" s="23" t="s">
        <v>32</v>
      </c>
      <c r="F14" s="24">
        <v>2353856155</v>
      </c>
      <c r="G14" s="25" t="s">
        <v>24</v>
      </c>
      <c r="H14" s="25" t="s">
        <v>25</v>
      </c>
      <c r="I14" s="26"/>
      <c r="J14" s="25">
        <v>6</v>
      </c>
      <c r="K14" s="25">
        <v>6</v>
      </c>
      <c r="L14" s="25"/>
      <c r="M14" s="25"/>
      <c r="N14" s="25">
        <v>3</v>
      </c>
      <c r="O14" s="25"/>
      <c r="P14" s="25">
        <v>25</v>
      </c>
      <c r="Q14" s="25"/>
      <c r="R14" s="25"/>
      <c r="S14" s="25">
        <v>7</v>
      </c>
      <c r="T14" s="25">
        <f t="shared" si="0"/>
        <v>47</v>
      </c>
      <c r="U14" s="25">
        <f t="shared" si="1"/>
        <v>-1</v>
      </c>
      <c r="X14" s="13"/>
    </row>
    <row r="15" spans="1:48" ht="14.4">
      <c r="B15" s="20">
        <v>6552487</v>
      </c>
      <c r="C15" s="21">
        <v>46107</v>
      </c>
      <c r="D15" s="22">
        <v>17</v>
      </c>
      <c r="E15" s="23" t="s">
        <v>33</v>
      </c>
      <c r="F15" s="24">
        <v>2353856155</v>
      </c>
      <c r="G15" s="25" t="s">
        <v>24</v>
      </c>
      <c r="H15" s="25" t="s">
        <v>25</v>
      </c>
      <c r="I15" s="26"/>
      <c r="J15" s="25">
        <v>3</v>
      </c>
      <c r="K15" s="25"/>
      <c r="L15" s="25">
        <v>1</v>
      </c>
      <c r="M15" s="25"/>
      <c r="N15" s="25"/>
      <c r="O15" s="25">
        <v>7</v>
      </c>
      <c r="P15" s="25">
        <v>3</v>
      </c>
      <c r="Q15" s="25"/>
      <c r="R15" s="25"/>
      <c r="S15" s="25"/>
      <c r="T15" s="25">
        <f t="shared" si="0"/>
        <v>14</v>
      </c>
      <c r="U15" s="25">
        <f t="shared" si="1"/>
        <v>3</v>
      </c>
      <c r="X15" s="13"/>
    </row>
    <row r="16" spans="1:48" ht="14.4">
      <c r="B16" s="20">
        <v>6552487</v>
      </c>
      <c r="C16" s="21">
        <v>46107</v>
      </c>
      <c r="D16" s="22">
        <v>24</v>
      </c>
      <c r="E16" s="23" t="s">
        <v>34</v>
      </c>
      <c r="F16" s="24">
        <v>2353856155</v>
      </c>
      <c r="G16" s="25" t="s">
        <v>24</v>
      </c>
      <c r="H16" s="25" t="s">
        <v>25</v>
      </c>
      <c r="I16" s="26"/>
      <c r="J16" s="25">
        <v>3</v>
      </c>
      <c r="K16" s="25"/>
      <c r="L16" s="25"/>
      <c r="M16" s="25"/>
      <c r="N16" s="25">
        <v>1</v>
      </c>
      <c r="O16" s="25">
        <v>13</v>
      </c>
      <c r="P16" s="25"/>
      <c r="Q16" s="25"/>
      <c r="R16" s="25"/>
      <c r="S16" s="25">
        <v>6</v>
      </c>
      <c r="T16" s="25">
        <f t="shared" si="0"/>
        <v>23</v>
      </c>
      <c r="U16" s="25">
        <f t="shared" si="1"/>
        <v>1</v>
      </c>
      <c r="X16" s="13"/>
    </row>
    <row r="17" spans="9:24">
      <c r="X17" s="13"/>
    </row>
    <row r="18" spans="9:24" ht="15.05">
      <c r="I18" s="3" t="s">
        <v>35</v>
      </c>
      <c r="J18" s="25">
        <f t="shared" ref="J18:U18" si="2">SUM(J7:J16)</f>
        <v>154</v>
      </c>
      <c r="K18" s="27">
        <f t="shared" si="2"/>
        <v>140</v>
      </c>
      <c r="L18" s="27">
        <f t="shared" si="2"/>
        <v>30</v>
      </c>
      <c r="M18" s="25">
        <f t="shared" si="2"/>
        <v>3</v>
      </c>
      <c r="N18" s="25">
        <f t="shared" si="2"/>
        <v>5</v>
      </c>
      <c r="O18" s="25">
        <f t="shared" si="2"/>
        <v>91</v>
      </c>
      <c r="P18" s="27">
        <f t="shared" si="2"/>
        <v>235</v>
      </c>
      <c r="Q18" s="25">
        <f t="shared" si="2"/>
        <v>24</v>
      </c>
      <c r="R18" s="25">
        <f t="shared" si="2"/>
        <v>1</v>
      </c>
      <c r="S18" s="25">
        <f t="shared" si="2"/>
        <v>124</v>
      </c>
      <c r="T18" s="16"/>
      <c r="U18" s="16"/>
      <c r="V18" s="16"/>
      <c r="X18" s="13"/>
    </row>
    <row r="19" spans="9:24">
      <c r="X19" s="13"/>
    </row>
    <row r="20" spans="9:24" ht="15.05">
      <c r="I20" s="3" t="s">
        <v>36</v>
      </c>
      <c r="J20" s="25">
        <v>154</v>
      </c>
      <c r="K20" s="27">
        <v>143</v>
      </c>
      <c r="L20" s="27">
        <v>31</v>
      </c>
      <c r="M20" s="25">
        <v>3</v>
      </c>
      <c r="N20" s="25">
        <v>5</v>
      </c>
      <c r="O20" s="25">
        <v>91</v>
      </c>
      <c r="P20" s="27">
        <v>237</v>
      </c>
      <c r="Q20" s="25">
        <v>24</v>
      </c>
      <c r="R20" s="25">
        <v>1</v>
      </c>
      <c r="S20" s="25">
        <v>124</v>
      </c>
      <c r="T20" s="16"/>
      <c r="U20" s="16"/>
      <c r="X20" s="13"/>
    </row>
    <row r="21" spans="9:24">
      <c r="X21" s="13"/>
    </row>
    <row r="22" spans="9:24">
      <c r="X22" s="13"/>
    </row>
    <row r="23" spans="9:24">
      <c r="X23" s="13"/>
    </row>
    <row r="24" spans="9:24">
      <c r="X24" s="13"/>
    </row>
    <row r="25" spans="9:24">
      <c r="X25" s="13"/>
    </row>
    <row r="26" spans="9:24">
      <c r="X26" s="13"/>
    </row>
    <row r="27" spans="9:24">
      <c r="X27" s="13"/>
    </row>
    <row r="28" spans="9:24">
      <c r="X28" s="13"/>
    </row>
    <row r="29" spans="9:24">
      <c r="X29" s="13"/>
    </row>
    <row r="30" spans="9:24">
      <c r="X30" s="13"/>
    </row>
    <row r="31" spans="9:24">
      <c r="X31" s="13"/>
    </row>
    <row r="32" spans="9:24">
      <c r="X32" s="13"/>
    </row>
    <row r="33" spans="24:24">
      <c r="X33" s="13"/>
    </row>
    <row r="34" spans="24:24">
      <c r="X34" s="13"/>
    </row>
    <row r="35" spans="24:24">
      <c r="X35" s="13"/>
    </row>
    <row r="36" spans="24:24">
      <c r="X36" s="13"/>
    </row>
    <row r="37" spans="24:24">
      <c r="X37" s="13"/>
    </row>
    <row r="38" spans="24:24">
      <c r="X38" s="13"/>
    </row>
    <row r="39" spans="24:24">
      <c r="X39" s="13"/>
    </row>
    <row r="40" spans="24:24">
      <c r="X40" s="13"/>
    </row>
    <row r="41" spans="24:24">
      <c r="X41" s="13"/>
    </row>
    <row r="42" spans="24:24">
      <c r="X42" s="13"/>
    </row>
    <row r="43" spans="24:24">
      <c r="X43" s="13"/>
    </row>
    <row r="44" spans="24:24">
      <c r="X44" s="13"/>
    </row>
    <row r="45" spans="24:24">
      <c r="X45" s="13"/>
    </row>
    <row r="46" spans="24:24">
      <c r="X46" s="13"/>
    </row>
    <row r="47" spans="24:24">
      <c r="X47" s="13"/>
    </row>
    <row r="48" spans="24:24">
      <c r="X48" s="13"/>
    </row>
    <row r="49" spans="24:24">
      <c r="X49" s="13"/>
    </row>
    <row r="50" spans="24:24">
      <c r="X50" s="13"/>
    </row>
    <row r="51" spans="24:24">
      <c r="X51" s="13"/>
    </row>
    <row r="52" spans="24:24">
      <c r="X52" s="13"/>
    </row>
    <row r="53" spans="24:24">
      <c r="X53" s="13"/>
    </row>
    <row r="54" spans="24:24">
      <c r="X54" s="13"/>
    </row>
    <row r="55" spans="24:24">
      <c r="X55" s="13"/>
    </row>
    <row r="56" spans="24:24">
      <c r="X56" s="13"/>
    </row>
    <row r="57" spans="24:24">
      <c r="X57" s="13"/>
    </row>
    <row r="58" spans="24:24">
      <c r="X58" s="13"/>
    </row>
    <row r="59" spans="24:24">
      <c r="X59" s="13"/>
    </row>
    <row r="60" spans="24:24">
      <c r="X60" s="13"/>
    </row>
    <row r="61" spans="24:24">
      <c r="X61" s="13"/>
    </row>
    <row r="62" spans="24:24">
      <c r="X62" s="13"/>
    </row>
    <row r="63" spans="24:24">
      <c r="X63" s="13"/>
    </row>
    <row r="64" spans="24:24">
      <c r="X64" s="13"/>
    </row>
    <row r="65" spans="24:24">
      <c r="X65" s="13"/>
    </row>
    <row r="66" spans="24:24">
      <c r="X66" s="13"/>
    </row>
    <row r="67" spans="24:24">
      <c r="X67" s="13"/>
    </row>
    <row r="68" spans="24:24">
      <c r="X68" s="13"/>
    </row>
    <row r="69" spans="24:24">
      <c r="X69" s="13"/>
    </row>
    <row r="70" spans="24:24">
      <c r="X70" s="13"/>
    </row>
    <row r="71" spans="24:24">
      <c r="X71" s="13"/>
    </row>
    <row r="72" spans="24:24">
      <c r="X72" s="13"/>
    </row>
    <row r="73" spans="24:24">
      <c r="X73" s="13"/>
    </row>
    <row r="74" spans="24:24">
      <c r="X74" s="13"/>
    </row>
    <row r="75" spans="24:24">
      <c r="X75" s="13"/>
    </row>
    <row r="76" spans="24:24">
      <c r="X76" s="13"/>
    </row>
    <row r="77" spans="24:24">
      <c r="X77" s="13"/>
    </row>
    <row r="78" spans="24:24">
      <c r="X78" s="13"/>
    </row>
    <row r="79" spans="24:24">
      <c r="X79" s="13"/>
    </row>
    <row r="80" spans="24:24">
      <c r="X80" s="13"/>
    </row>
    <row r="81" spans="24:24">
      <c r="X81" s="13"/>
    </row>
    <row r="82" spans="24:24">
      <c r="X82" s="13"/>
    </row>
    <row r="83" spans="24:24">
      <c r="X83" s="13"/>
    </row>
    <row r="84" spans="24:24">
      <c r="X84" s="13"/>
    </row>
    <row r="85" spans="24:24">
      <c r="X85" s="13"/>
    </row>
    <row r="86" spans="24:24">
      <c r="X86" s="13"/>
    </row>
    <row r="87" spans="24:24">
      <c r="X87" s="13"/>
    </row>
    <row r="88" spans="24:24">
      <c r="X88" s="13"/>
    </row>
    <row r="89" spans="24:24">
      <c r="X89" s="13"/>
    </row>
    <row r="90" spans="24:24">
      <c r="X90" s="13"/>
    </row>
    <row r="91" spans="24:24">
      <c r="X91" s="13"/>
    </row>
    <row r="92" spans="24:24">
      <c r="X92" s="13"/>
    </row>
    <row r="93" spans="24:24">
      <c r="X93" s="13"/>
    </row>
    <row r="94" spans="24:24">
      <c r="X94" s="13"/>
    </row>
    <row r="95" spans="24:24">
      <c r="X95" s="13"/>
    </row>
    <row r="96" spans="24:24">
      <c r="X96" s="13"/>
    </row>
    <row r="97" spans="24:24">
      <c r="X97" s="13"/>
    </row>
    <row r="98" spans="24:24">
      <c r="X98" s="13"/>
    </row>
    <row r="99" spans="24:24">
      <c r="X99" s="13"/>
    </row>
    <row r="100" spans="24:24">
      <c r="X100" s="13"/>
    </row>
    <row r="101" spans="24:24">
      <c r="X101" s="13"/>
    </row>
    <row r="102" spans="24:24">
      <c r="X102" s="13"/>
    </row>
    <row r="103" spans="24:24">
      <c r="X103" s="13"/>
    </row>
    <row r="104" spans="24:24">
      <c r="X104" s="13"/>
    </row>
    <row r="105" spans="24:24">
      <c r="X105" s="13"/>
    </row>
    <row r="106" spans="24:24">
      <c r="X106" s="13"/>
    </row>
    <row r="107" spans="24:24">
      <c r="X107" s="13"/>
    </row>
    <row r="108" spans="24:24">
      <c r="X108" s="13"/>
    </row>
    <row r="109" spans="24:24">
      <c r="X109" s="13"/>
    </row>
    <row r="110" spans="24:24">
      <c r="X110" s="13"/>
    </row>
    <row r="111" spans="24:24">
      <c r="X111" s="13"/>
    </row>
    <row r="112" spans="24:24">
      <c r="X112" s="13"/>
    </row>
    <row r="113" spans="24:24">
      <c r="X113" s="13"/>
    </row>
    <row r="114" spans="24:24">
      <c r="X114" s="13"/>
    </row>
    <row r="115" spans="24:24">
      <c r="X115" s="13"/>
    </row>
    <row r="116" spans="24:24">
      <c r="X116" s="13"/>
    </row>
    <row r="117" spans="24:24">
      <c r="X117" s="13"/>
    </row>
    <row r="118" spans="24:24">
      <c r="X118" s="13"/>
    </row>
    <row r="119" spans="24:24">
      <c r="X119" s="13"/>
    </row>
    <row r="120" spans="24:24">
      <c r="X120" s="13"/>
    </row>
    <row r="121" spans="24:24">
      <c r="X121" s="13"/>
    </row>
    <row r="122" spans="24:24">
      <c r="X122" s="13"/>
    </row>
    <row r="123" spans="24:24">
      <c r="X123" s="13"/>
    </row>
    <row r="124" spans="24:24">
      <c r="X124" s="13"/>
    </row>
    <row r="125" spans="24:24">
      <c r="X125" s="13"/>
    </row>
    <row r="126" spans="24:24">
      <c r="X126" s="13"/>
    </row>
    <row r="127" spans="24:24">
      <c r="X127" s="13"/>
    </row>
    <row r="128" spans="24:24">
      <c r="X128" s="13"/>
    </row>
    <row r="129" spans="24:24">
      <c r="X129" s="13"/>
    </row>
    <row r="130" spans="24:24">
      <c r="X130" s="13"/>
    </row>
    <row r="131" spans="24:24">
      <c r="X131" s="13"/>
    </row>
    <row r="132" spans="24:24">
      <c r="X132" s="13"/>
    </row>
    <row r="133" spans="24:24">
      <c r="X133" s="13"/>
    </row>
    <row r="134" spans="24:24">
      <c r="X134" s="13"/>
    </row>
    <row r="135" spans="24:24">
      <c r="X135" s="13"/>
    </row>
    <row r="136" spans="24:24">
      <c r="X136" s="13"/>
    </row>
    <row r="137" spans="24:24">
      <c r="X137" s="13"/>
    </row>
    <row r="138" spans="24:24">
      <c r="X138" s="13"/>
    </row>
    <row r="139" spans="24:24">
      <c r="X139" s="13"/>
    </row>
    <row r="140" spans="24:24">
      <c r="X140" s="13"/>
    </row>
    <row r="141" spans="24:24">
      <c r="X141" s="13"/>
    </row>
    <row r="142" spans="24:24">
      <c r="X142" s="13"/>
    </row>
    <row r="143" spans="24:24">
      <c r="X143" s="13"/>
    </row>
    <row r="144" spans="24:24">
      <c r="X144" s="13"/>
    </row>
    <row r="145" spans="24:24">
      <c r="X145" s="13"/>
    </row>
    <row r="146" spans="24:24">
      <c r="X146" s="13"/>
    </row>
    <row r="147" spans="24:24">
      <c r="X147" s="13"/>
    </row>
    <row r="148" spans="24:24">
      <c r="X148" s="13"/>
    </row>
    <row r="149" spans="24:24">
      <c r="X149" s="13"/>
    </row>
    <row r="150" spans="24:24">
      <c r="X150" s="13"/>
    </row>
    <row r="151" spans="24:24">
      <c r="X151" s="13"/>
    </row>
    <row r="152" spans="24:24">
      <c r="X152" s="13"/>
    </row>
    <row r="153" spans="24:24">
      <c r="X153" s="13"/>
    </row>
    <row r="154" spans="24:24">
      <c r="X154" s="13"/>
    </row>
    <row r="155" spans="24:24">
      <c r="X155" s="13"/>
    </row>
    <row r="156" spans="24:24">
      <c r="X156" s="13"/>
    </row>
    <row r="157" spans="24:24">
      <c r="X157" s="13"/>
    </row>
    <row r="158" spans="24:24">
      <c r="X158" s="13"/>
    </row>
    <row r="159" spans="24:24">
      <c r="X159" s="13"/>
    </row>
    <row r="160" spans="24:24">
      <c r="X160" s="13"/>
    </row>
    <row r="161" spans="24:24">
      <c r="X161" s="13"/>
    </row>
    <row r="162" spans="24:24">
      <c r="X162" s="13"/>
    </row>
    <row r="163" spans="24:24">
      <c r="X163" s="13"/>
    </row>
    <row r="164" spans="24:24">
      <c r="X164" s="13"/>
    </row>
    <row r="165" spans="24:24">
      <c r="X165" s="13"/>
    </row>
    <row r="166" spans="24:24">
      <c r="X166" s="13"/>
    </row>
    <row r="167" spans="24:24">
      <c r="X167" s="13"/>
    </row>
    <row r="168" spans="24:24">
      <c r="X168" s="13"/>
    </row>
    <row r="169" spans="24:24">
      <c r="X169" s="13"/>
    </row>
    <row r="170" spans="24:24">
      <c r="X170" s="13"/>
    </row>
    <row r="171" spans="24:24">
      <c r="X171" s="13"/>
    </row>
    <row r="172" spans="24:24">
      <c r="X172" s="13"/>
    </row>
    <row r="173" spans="24:24">
      <c r="X173" s="13"/>
    </row>
    <row r="174" spans="24:24">
      <c r="X174" s="13"/>
    </row>
    <row r="175" spans="24:24">
      <c r="X175" s="13"/>
    </row>
    <row r="176" spans="24:24">
      <c r="X176" s="13"/>
    </row>
    <row r="177" spans="24:24">
      <c r="X177" s="13"/>
    </row>
    <row r="178" spans="24:24">
      <c r="X178" s="13"/>
    </row>
    <row r="179" spans="24:24">
      <c r="X179" s="13"/>
    </row>
    <row r="180" spans="24:24">
      <c r="X180" s="13"/>
    </row>
    <row r="181" spans="24:24">
      <c r="X181" s="13"/>
    </row>
    <row r="182" spans="24:24">
      <c r="X182" s="13"/>
    </row>
    <row r="183" spans="24:24">
      <c r="X183" s="13"/>
    </row>
    <row r="184" spans="24:24">
      <c r="X184" s="13"/>
    </row>
    <row r="185" spans="24:24">
      <c r="X185" s="13"/>
    </row>
    <row r="186" spans="24:24">
      <c r="X186" s="13"/>
    </row>
    <row r="187" spans="24:24">
      <c r="X187" s="13"/>
    </row>
    <row r="188" spans="24:24">
      <c r="X188" s="13"/>
    </row>
    <row r="189" spans="24:24">
      <c r="X189" s="13"/>
    </row>
    <row r="190" spans="24:24">
      <c r="X190" s="13"/>
    </row>
    <row r="191" spans="24:24">
      <c r="X191" s="13"/>
    </row>
    <row r="192" spans="24:24">
      <c r="X192" s="13"/>
    </row>
    <row r="193" spans="24:24">
      <c r="X193" s="13"/>
    </row>
    <row r="194" spans="24:24">
      <c r="X194" s="13"/>
    </row>
    <row r="195" spans="24:24">
      <c r="X195" s="13"/>
    </row>
    <row r="196" spans="24:24">
      <c r="X196" s="13"/>
    </row>
    <row r="197" spans="24:24">
      <c r="X197" s="13"/>
    </row>
    <row r="198" spans="24:24">
      <c r="X198" s="13"/>
    </row>
    <row r="199" spans="24:24">
      <c r="X199" s="13"/>
    </row>
    <row r="200" spans="24:24">
      <c r="X200" s="13"/>
    </row>
    <row r="201" spans="24:24">
      <c r="X201" s="13"/>
    </row>
    <row r="202" spans="24:24">
      <c r="X202" s="13"/>
    </row>
    <row r="203" spans="24:24">
      <c r="X203" s="13"/>
    </row>
    <row r="204" spans="24:24">
      <c r="X204" s="13"/>
    </row>
    <row r="205" spans="24:24">
      <c r="X205" s="13"/>
    </row>
    <row r="206" spans="24:24">
      <c r="X206" s="13"/>
    </row>
    <row r="207" spans="24:24">
      <c r="X207" s="13"/>
    </row>
    <row r="208" spans="24:24">
      <c r="X208" s="13"/>
    </row>
    <row r="209" spans="24:24">
      <c r="X209" s="13"/>
    </row>
    <row r="210" spans="24:24">
      <c r="X210" s="13"/>
    </row>
    <row r="211" spans="24:24">
      <c r="X211" s="13"/>
    </row>
    <row r="212" spans="24:24">
      <c r="X212" s="13"/>
    </row>
    <row r="213" spans="24:24">
      <c r="X213" s="13"/>
    </row>
    <row r="214" spans="24:24">
      <c r="X214" s="13"/>
    </row>
    <row r="215" spans="24:24">
      <c r="X215" s="13"/>
    </row>
    <row r="216" spans="24:24">
      <c r="X216" s="13"/>
    </row>
    <row r="217" spans="24:24">
      <c r="X217" s="13"/>
    </row>
    <row r="218" spans="24:24">
      <c r="X218" s="13"/>
    </row>
    <row r="219" spans="24:24">
      <c r="X219" s="13"/>
    </row>
    <row r="220" spans="24:24">
      <c r="X220" s="13"/>
    </row>
    <row r="221" spans="24:24">
      <c r="X221" s="13"/>
    </row>
    <row r="222" spans="24:24">
      <c r="X222" s="13"/>
    </row>
    <row r="223" spans="24:24">
      <c r="X223" s="13"/>
    </row>
    <row r="224" spans="24:24">
      <c r="X224" s="13"/>
    </row>
    <row r="225" spans="24:24">
      <c r="X225" s="13"/>
    </row>
    <row r="226" spans="24:24">
      <c r="X226" s="13"/>
    </row>
    <row r="227" spans="24:24">
      <c r="X227" s="13"/>
    </row>
    <row r="228" spans="24:24">
      <c r="X228" s="13"/>
    </row>
    <row r="229" spans="24:24">
      <c r="X229" s="13"/>
    </row>
    <row r="230" spans="24:24">
      <c r="X230" s="13"/>
    </row>
    <row r="231" spans="24:24">
      <c r="X231" s="13"/>
    </row>
    <row r="232" spans="24:24">
      <c r="X232" s="13"/>
    </row>
    <row r="233" spans="24:24">
      <c r="X233" s="13"/>
    </row>
    <row r="234" spans="24:24">
      <c r="X234" s="13"/>
    </row>
    <row r="235" spans="24:24">
      <c r="X235" s="13"/>
    </row>
    <row r="236" spans="24:24">
      <c r="X236" s="13"/>
    </row>
    <row r="237" spans="24:24">
      <c r="X237" s="13"/>
    </row>
    <row r="238" spans="24:24">
      <c r="X238" s="13"/>
    </row>
    <row r="239" spans="24:24">
      <c r="X239" s="13"/>
    </row>
    <row r="240" spans="24:24">
      <c r="X240" s="13"/>
    </row>
    <row r="241" spans="24:24">
      <c r="X241" s="13"/>
    </row>
    <row r="242" spans="24:24">
      <c r="X242" s="13"/>
    </row>
    <row r="243" spans="24:24">
      <c r="X243" s="13"/>
    </row>
    <row r="244" spans="24:24">
      <c r="X244" s="13"/>
    </row>
    <row r="245" spans="24:24">
      <c r="X245" s="13"/>
    </row>
    <row r="246" spans="24:24">
      <c r="X246" s="13"/>
    </row>
    <row r="247" spans="24:24">
      <c r="X247" s="13"/>
    </row>
    <row r="248" spans="24:24">
      <c r="X248" s="13"/>
    </row>
    <row r="249" spans="24:24">
      <c r="X249" s="13"/>
    </row>
    <row r="250" spans="24:24">
      <c r="X250" s="13"/>
    </row>
    <row r="251" spans="24:24">
      <c r="X251" s="13"/>
    </row>
    <row r="252" spans="24:24">
      <c r="X252" s="13"/>
    </row>
    <row r="253" spans="24:24">
      <c r="X253" s="13"/>
    </row>
    <row r="254" spans="24:24">
      <c r="X254" s="13"/>
    </row>
    <row r="255" spans="24:24">
      <c r="X255" s="13"/>
    </row>
    <row r="256" spans="24:24">
      <c r="X256" s="13"/>
    </row>
    <row r="257" spans="24:24">
      <c r="X257" s="13"/>
    </row>
    <row r="258" spans="24:24">
      <c r="X258" s="13"/>
    </row>
    <row r="259" spans="24:24">
      <c r="X259" s="13"/>
    </row>
    <row r="260" spans="24:24">
      <c r="X260" s="13"/>
    </row>
    <row r="261" spans="24:24">
      <c r="X261" s="13"/>
    </row>
    <row r="262" spans="24:24">
      <c r="X262" s="13"/>
    </row>
    <row r="263" spans="24:24">
      <c r="X263" s="13"/>
    </row>
    <row r="264" spans="24:24">
      <c r="X264" s="13"/>
    </row>
    <row r="265" spans="24:24">
      <c r="X265" s="13"/>
    </row>
    <row r="266" spans="24:24">
      <c r="X266" s="13"/>
    </row>
    <row r="267" spans="24:24">
      <c r="X267" s="13"/>
    </row>
    <row r="268" spans="24:24">
      <c r="X268" s="13"/>
    </row>
    <row r="269" spans="24:24">
      <c r="X269" s="13"/>
    </row>
    <row r="270" spans="24:24">
      <c r="X270" s="13"/>
    </row>
    <row r="271" spans="24:24">
      <c r="X271" s="13"/>
    </row>
    <row r="272" spans="24:24">
      <c r="X272" s="13"/>
    </row>
    <row r="273" spans="24:24">
      <c r="X273" s="13"/>
    </row>
    <row r="274" spans="24:24">
      <c r="X274" s="13"/>
    </row>
    <row r="275" spans="24:24">
      <c r="X275" s="13"/>
    </row>
    <row r="276" spans="24:24">
      <c r="X276" s="13"/>
    </row>
    <row r="277" spans="24:24">
      <c r="X277" s="13"/>
    </row>
    <row r="278" spans="24:24">
      <c r="X278" s="13"/>
    </row>
    <row r="279" spans="24:24">
      <c r="X279" s="13"/>
    </row>
    <row r="280" spans="24:24">
      <c r="X280" s="13"/>
    </row>
    <row r="281" spans="24:24">
      <c r="X281" s="13"/>
    </row>
    <row r="282" spans="24:24">
      <c r="X282" s="13"/>
    </row>
    <row r="283" spans="24:24">
      <c r="X283" s="13"/>
    </row>
    <row r="284" spans="24:24">
      <c r="X284" s="13"/>
    </row>
    <row r="285" spans="24:24">
      <c r="X285" s="13"/>
    </row>
    <row r="286" spans="24:24">
      <c r="X286" s="13"/>
    </row>
    <row r="287" spans="24:24">
      <c r="X287" s="13"/>
    </row>
    <row r="288" spans="24:24">
      <c r="X288" s="13"/>
    </row>
    <row r="289" spans="24:24">
      <c r="X289" s="13"/>
    </row>
    <row r="290" spans="24:24">
      <c r="X290" s="13"/>
    </row>
    <row r="291" spans="24:24">
      <c r="X291" s="13"/>
    </row>
    <row r="292" spans="24:24">
      <c r="X292" s="13"/>
    </row>
    <row r="293" spans="24:24">
      <c r="X293" s="13"/>
    </row>
    <row r="294" spans="24:24">
      <c r="X294" s="13"/>
    </row>
    <row r="295" spans="24:24">
      <c r="X295" s="13"/>
    </row>
    <row r="296" spans="24:24">
      <c r="X296" s="13"/>
    </row>
    <row r="297" spans="24:24">
      <c r="X297" s="13"/>
    </row>
    <row r="298" spans="24:24">
      <c r="X298" s="13"/>
    </row>
    <row r="299" spans="24:24">
      <c r="X299" s="13"/>
    </row>
    <row r="300" spans="24:24">
      <c r="X300" s="13"/>
    </row>
    <row r="301" spans="24:24">
      <c r="X301" s="13"/>
    </row>
    <row r="302" spans="24:24">
      <c r="X302" s="13"/>
    </row>
    <row r="303" spans="24:24">
      <c r="X303" s="13"/>
    </row>
    <row r="304" spans="24:24">
      <c r="X304" s="13"/>
    </row>
    <row r="305" spans="24:24">
      <c r="X305" s="13"/>
    </row>
    <row r="306" spans="24:24">
      <c r="X306" s="13"/>
    </row>
    <row r="307" spans="24:24">
      <c r="X307" s="13"/>
    </row>
    <row r="308" spans="24:24">
      <c r="X308" s="13"/>
    </row>
    <row r="309" spans="24:24">
      <c r="X309" s="13"/>
    </row>
    <row r="310" spans="24:24">
      <c r="X310" s="13"/>
    </row>
    <row r="311" spans="24:24">
      <c r="X311" s="13"/>
    </row>
    <row r="312" spans="24:24">
      <c r="X312" s="13"/>
    </row>
    <row r="313" spans="24:24">
      <c r="X313" s="13"/>
    </row>
    <row r="314" spans="24:24">
      <c r="X314" s="13"/>
    </row>
    <row r="315" spans="24:24">
      <c r="X315" s="13"/>
    </row>
    <row r="316" spans="24:24">
      <c r="X316" s="13"/>
    </row>
    <row r="317" spans="24:24">
      <c r="X317" s="13"/>
    </row>
    <row r="318" spans="24:24">
      <c r="X318" s="13"/>
    </row>
    <row r="319" spans="24:24">
      <c r="X319" s="13"/>
    </row>
    <row r="320" spans="24:24">
      <c r="X320" s="13"/>
    </row>
    <row r="321" spans="24:24">
      <c r="X321" s="13"/>
    </row>
    <row r="322" spans="24:24">
      <c r="X322" s="13"/>
    </row>
    <row r="323" spans="24:24">
      <c r="X323" s="13"/>
    </row>
    <row r="324" spans="24:24">
      <c r="X324" s="13"/>
    </row>
    <row r="325" spans="24:24">
      <c r="X325" s="13"/>
    </row>
    <row r="326" spans="24:24">
      <c r="X326" s="13"/>
    </row>
    <row r="327" spans="24:24">
      <c r="X327" s="13"/>
    </row>
    <row r="328" spans="24:24">
      <c r="X328" s="13"/>
    </row>
    <row r="329" spans="24:24">
      <c r="X329" s="13"/>
    </row>
    <row r="330" spans="24:24">
      <c r="X330" s="13"/>
    </row>
    <row r="331" spans="24:24">
      <c r="X331" s="13"/>
    </row>
    <row r="332" spans="24:24">
      <c r="X332" s="13"/>
    </row>
    <row r="333" spans="24:24">
      <c r="X333" s="13"/>
    </row>
    <row r="334" spans="24:24">
      <c r="X334" s="13"/>
    </row>
    <row r="335" spans="24:24">
      <c r="X335" s="13"/>
    </row>
    <row r="336" spans="24:24">
      <c r="X336" s="13"/>
    </row>
    <row r="337" spans="24:24">
      <c r="X337" s="13"/>
    </row>
    <row r="338" spans="24:24">
      <c r="X338" s="13"/>
    </row>
    <row r="339" spans="24:24">
      <c r="X339" s="13"/>
    </row>
    <row r="340" spans="24:24">
      <c r="X340" s="13"/>
    </row>
    <row r="341" spans="24:24">
      <c r="X341" s="13"/>
    </row>
    <row r="342" spans="24:24">
      <c r="X342" s="13"/>
    </row>
    <row r="343" spans="24:24">
      <c r="X343" s="13"/>
    </row>
    <row r="344" spans="24:24">
      <c r="X344" s="13"/>
    </row>
    <row r="345" spans="24:24">
      <c r="X345" s="13"/>
    </row>
    <row r="346" spans="24:24">
      <c r="X346" s="13"/>
    </row>
    <row r="347" spans="24:24">
      <c r="X347" s="13"/>
    </row>
    <row r="348" spans="24:24">
      <c r="X348" s="13"/>
    </row>
    <row r="349" spans="24:24">
      <c r="X349" s="13"/>
    </row>
    <row r="350" spans="24:24">
      <c r="X350" s="13"/>
    </row>
    <row r="351" spans="24:24">
      <c r="X351" s="13"/>
    </row>
    <row r="352" spans="24:24">
      <c r="X352" s="13"/>
    </row>
    <row r="353" spans="24:24">
      <c r="X353" s="13"/>
    </row>
    <row r="354" spans="24:24">
      <c r="X354" s="13"/>
    </row>
    <row r="355" spans="24:24">
      <c r="X355" s="13"/>
    </row>
    <row r="356" spans="24:24">
      <c r="X356" s="13"/>
    </row>
    <row r="357" spans="24:24">
      <c r="X357" s="13"/>
    </row>
    <row r="358" spans="24:24">
      <c r="X358" s="13"/>
    </row>
    <row r="359" spans="24:24">
      <c r="X359" s="13"/>
    </row>
    <row r="360" spans="24:24">
      <c r="X360" s="13"/>
    </row>
    <row r="361" spans="24:24">
      <c r="X361" s="13"/>
    </row>
    <row r="362" spans="24:24">
      <c r="X362" s="13"/>
    </row>
    <row r="363" spans="24:24">
      <c r="X363" s="13"/>
    </row>
    <row r="364" spans="24:24">
      <c r="X364" s="13"/>
    </row>
    <row r="365" spans="24:24">
      <c r="X365" s="13"/>
    </row>
    <row r="366" spans="24:24">
      <c r="X366" s="13"/>
    </row>
    <row r="367" spans="24:24">
      <c r="X367" s="13"/>
    </row>
    <row r="368" spans="24:24">
      <c r="X368" s="13"/>
    </row>
    <row r="369" spans="24:24">
      <c r="X369" s="13"/>
    </row>
    <row r="370" spans="24:24">
      <c r="X370" s="13"/>
    </row>
    <row r="371" spans="24:24">
      <c r="X371" s="13"/>
    </row>
    <row r="372" spans="24:24">
      <c r="X372" s="13"/>
    </row>
    <row r="373" spans="24:24">
      <c r="X373" s="13"/>
    </row>
    <row r="374" spans="24:24">
      <c r="X374" s="13"/>
    </row>
    <row r="375" spans="24:24">
      <c r="X375" s="13"/>
    </row>
    <row r="376" spans="24:24">
      <c r="X376" s="13"/>
    </row>
    <row r="377" spans="24:24">
      <c r="X377" s="13"/>
    </row>
    <row r="378" spans="24:24">
      <c r="X378" s="13"/>
    </row>
    <row r="379" spans="24:24">
      <c r="X379" s="13"/>
    </row>
    <row r="380" spans="24:24">
      <c r="X380" s="13"/>
    </row>
    <row r="381" spans="24:24">
      <c r="X381" s="13"/>
    </row>
    <row r="382" spans="24:24">
      <c r="X382" s="13"/>
    </row>
    <row r="383" spans="24:24">
      <c r="X383" s="13"/>
    </row>
    <row r="384" spans="24:24">
      <c r="X384" s="13"/>
    </row>
    <row r="385" spans="24:24">
      <c r="X385" s="13"/>
    </row>
    <row r="386" spans="24:24">
      <c r="X386" s="13"/>
    </row>
    <row r="387" spans="24:24">
      <c r="X387" s="13"/>
    </row>
    <row r="388" spans="24:24">
      <c r="X388" s="13"/>
    </row>
    <row r="389" spans="24:24">
      <c r="X389" s="13"/>
    </row>
    <row r="390" spans="24:24">
      <c r="X390" s="13"/>
    </row>
    <row r="391" spans="24:24">
      <c r="X391" s="13"/>
    </row>
    <row r="392" spans="24:24">
      <c r="X392" s="13"/>
    </row>
    <row r="393" spans="24:24">
      <c r="X393" s="13"/>
    </row>
    <row r="394" spans="24:24">
      <c r="X394" s="13"/>
    </row>
    <row r="395" spans="24:24">
      <c r="X395" s="13"/>
    </row>
    <row r="396" spans="24:24">
      <c r="X396" s="13"/>
    </row>
    <row r="397" spans="24:24">
      <c r="X397" s="13"/>
    </row>
    <row r="398" spans="24:24">
      <c r="X398" s="13"/>
    </row>
    <row r="399" spans="24:24">
      <c r="X399" s="13"/>
    </row>
    <row r="400" spans="24:24">
      <c r="X400" s="13"/>
    </row>
    <row r="401" spans="24:24">
      <c r="X401" s="13"/>
    </row>
    <row r="402" spans="24:24">
      <c r="X402" s="13"/>
    </row>
    <row r="403" spans="24:24">
      <c r="X403" s="13"/>
    </row>
    <row r="404" spans="24:24">
      <c r="X404" s="13"/>
    </row>
    <row r="405" spans="24:24">
      <c r="X405" s="13"/>
    </row>
    <row r="406" spans="24:24">
      <c r="X406" s="13"/>
    </row>
    <row r="407" spans="24:24">
      <c r="X407" s="13"/>
    </row>
    <row r="408" spans="24:24">
      <c r="X408" s="13"/>
    </row>
    <row r="409" spans="24:24">
      <c r="X409" s="13"/>
    </row>
    <row r="410" spans="24:24">
      <c r="X410" s="13"/>
    </row>
    <row r="411" spans="24:24">
      <c r="X411" s="13"/>
    </row>
    <row r="412" spans="24:24">
      <c r="X412" s="13"/>
    </row>
    <row r="413" spans="24:24">
      <c r="X413" s="13"/>
    </row>
    <row r="414" spans="24:24">
      <c r="X414" s="13"/>
    </row>
    <row r="415" spans="24:24">
      <c r="X415" s="13"/>
    </row>
    <row r="416" spans="24:24">
      <c r="X416" s="13"/>
    </row>
    <row r="417" spans="24:24">
      <c r="X417" s="13"/>
    </row>
    <row r="418" spans="24:24">
      <c r="X418" s="13"/>
    </row>
    <row r="419" spans="24:24">
      <c r="X419" s="13"/>
    </row>
    <row r="420" spans="24:24">
      <c r="X420" s="13"/>
    </row>
    <row r="421" spans="24:24">
      <c r="X421" s="13"/>
    </row>
    <row r="422" spans="24:24">
      <c r="X422" s="13"/>
    </row>
    <row r="423" spans="24:24">
      <c r="X423" s="13"/>
    </row>
    <row r="424" spans="24:24">
      <c r="X424" s="13"/>
    </row>
    <row r="425" spans="24:24">
      <c r="X425" s="13"/>
    </row>
    <row r="426" spans="24:24">
      <c r="X426" s="13"/>
    </row>
    <row r="427" spans="24:24">
      <c r="X427" s="13"/>
    </row>
    <row r="428" spans="24:24">
      <c r="X428" s="13"/>
    </row>
    <row r="429" spans="24:24">
      <c r="X429" s="13"/>
    </row>
    <row r="430" spans="24:24">
      <c r="X430" s="13"/>
    </row>
    <row r="431" spans="24:24">
      <c r="X431" s="13"/>
    </row>
    <row r="432" spans="24:24">
      <c r="X432" s="13"/>
    </row>
    <row r="433" spans="24:24">
      <c r="X433" s="13"/>
    </row>
    <row r="434" spans="24:24">
      <c r="X434" s="13"/>
    </row>
    <row r="435" spans="24:24">
      <c r="X435" s="13"/>
    </row>
    <row r="436" spans="24:24">
      <c r="X436" s="13"/>
    </row>
    <row r="437" spans="24:24">
      <c r="X437" s="13"/>
    </row>
    <row r="438" spans="24:24">
      <c r="X438" s="13"/>
    </row>
    <row r="439" spans="24:24">
      <c r="X439" s="13"/>
    </row>
    <row r="440" spans="24:24">
      <c r="X440" s="13"/>
    </row>
    <row r="441" spans="24:24">
      <c r="X441" s="13"/>
    </row>
    <row r="442" spans="24:24">
      <c r="X442" s="13"/>
    </row>
    <row r="443" spans="24:24">
      <c r="X443" s="13"/>
    </row>
    <row r="444" spans="24:24">
      <c r="X444" s="13"/>
    </row>
    <row r="445" spans="24:24">
      <c r="X445" s="13"/>
    </row>
    <row r="446" spans="24:24">
      <c r="X446" s="13"/>
    </row>
    <row r="447" spans="24:24">
      <c r="X447" s="13"/>
    </row>
    <row r="448" spans="24:24">
      <c r="X448" s="13"/>
    </row>
    <row r="449" spans="24:24">
      <c r="X449" s="13"/>
    </row>
    <row r="450" spans="24:24">
      <c r="X450" s="13"/>
    </row>
    <row r="451" spans="24:24">
      <c r="X451" s="13"/>
    </row>
    <row r="452" spans="24:24">
      <c r="X452" s="13"/>
    </row>
    <row r="453" spans="24:24">
      <c r="X453" s="13"/>
    </row>
    <row r="454" spans="24:24">
      <c r="X454" s="13"/>
    </row>
    <row r="455" spans="24:24">
      <c r="X455" s="13"/>
    </row>
    <row r="456" spans="24:24">
      <c r="X456" s="13"/>
    </row>
    <row r="457" spans="24:24">
      <c r="X457" s="13"/>
    </row>
    <row r="458" spans="24:24">
      <c r="X458" s="13"/>
    </row>
    <row r="459" spans="24:24">
      <c r="X459" s="13"/>
    </row>
    <row r="460" spans="24:24">
      <c r="X460" s="13"/>
    </row>
    <row r="461" spans="24:24">
      <c r="X461" s="13"/>
    </row>
    <row r="462" spans="24:24">
      <c r="X462" s="13"/>
    </row>
    <row r="463" spans="24:24">
      <c r="X463" s="13"/>
    </row>
    <row r="464" spans="24:24">
      <c r="X464" s="13"/>
    </row>
    <row r="465" spans="24:24">
      <c r="X465" s="13"/>
    </row>
    <row r="466" spans="24:24">
      <c r="X466" s="13"/>
    </row>
    <row r="467" spans="24:24">
      <c r="X467" s="13"/>
    </row>
    <row r="468" spans="24:24">
      <c r="X468" s="13"/>
    </row>
    <row r="469" spans="24:24">
      <c r="X469" s="13"/>
    </row>
    <row r="470" spans="24:24">
      <c r="X470" s="13"/>
    </row>
    <row r="471" spans="24:24">
      <c r="X471" s="13"/>
    </row>
    <row r="472" spans="24:24">
      <c r="X472" s="13"/>
    </row>
    <row r="473" spans="24:24">
      <c r="X473" s="13"/>
    </row>
    <row r="474" spans="24:24">
      <c r="X474" s="13"/>
    </row>
    <row r="475" spans="24:24">
      <c r="X475" s="13"/>
    </row>
    <row r="476" spans="24:24">
      <c r="X476" s="13"/>
    </row>
    <row r="477" spans="24:24">
      <c r="X477" s="13"/>
    </row>
    <row r="478" spans="24:24">
      <c r="X478" s="13"/>
    </row>
    <row r="479" spans="24:24">
      <c r="X479" s="13"/>
    </row>
    <row r="480" spans="24:24">
      <c r="X480" s="13"/>
    </row>
    <row r="481" spans="24:24">
      <c r="X481" s="13"/>
    </row>
    <row r="482" spans="24:24">
      <c r="X482" s="13"/>
    </row>
    <row r="483" spans="24:24">
      <c r="X483" s="13"/>
    </row>
    <row r="484" spans="24:24">
      <c r="X484" s="13"/>
    </row>
    <row r="485" spans="24:24">
      <c r="X485" s="13"/>
    </row>
    <row r="486" spans="24:24">
      <c r="X486" s="13"/>
    </row>
    <row r="487" spans="24:24">
      <c r="X487" s="13"/>
    </row>
    <row r="488" spans="24:24">
      <c r="X488" s="13"/>
    </row>
    <row r="489" spans="24:24">
      <c r="X489" s="13"/>
    </row>
    <row r="490" spans="24:24">
      <c r="X490" s="13"/>
    </row>
    <row r="491" spans="24:24">
      <c r="X491" s="13"/>
    </row>
    <row r="492" spans="24:24">
      <c r="X492" s="13"/>
    </row>
    <row r="493" spans="24:24">
      <c r="X493" s="13"/>
    </row>
    <row r="494" spans="24:24">
      <c r="X494" s="13"/>
    </row>
    <row r="495" spans="24:24">
      <c r="X495" s="13"/>
    </row>
    <row r="496" spans="24:24">
      <c r="X496" s="13"/>
    </row>
    <row r="497" spans="24:24">
      <c r="X497" s="13"/>
    </row>
    <row r="498" spans="24:24">
      <c r="X498" s="13"/>
    </row>
    <row r="499" spans="24:24">
      <c r="X499" s="13"/>
    </row>
    <row r="500" spans="24:24">
      <c r="X500" s="13"/>
    </row>
    <row r="501" spans="24:24">
      <c r="X501" s="13"/>
    </row>
    <row r="502" spans="24:24">
      <c r="X502" s="13"/>
    </row>
    <row r="503" spans="24:24">
      <c r="X503" s="13"/>
    </row>
    <row r="504" spans="24:24">
      <c r="X504" s="13"/>
    </row>
    <row r="505" spans="24:24">
      <c r="X505" s="13"/>
    </row>
    <row r="506" spans="24:24">
      <c r="X506" s="13"/>
    </row>
    <row r="507" spans="24:24">
      <c r="X507" s="13"/>
    </row>
    <row r="508" spans="24:24">
      <c r="X508" s="13"/>
    </row>
    <row r="509" spans="24:24">
      <c r="X509" s="13"/>
    </row>
    <row r="510" spans="24:24">
      <c r="X510" s="13"/>
    </row>
    <row r="511" spans="24:24">
      <c r="X511" s="13"/>
    </row>
    <row r="512" spans="24:24">
      <c r="X512" s="13"/>
    </row>
    <row r="513" spans="24:24">
      <c r="X513" s="13"/>
    </row>
    <row r="514" spans="24:24">
      <c r="X514" s="13"/>
    </row>
    <row r="515" spans="24:24">
      <c r="X515" s="13"/>
    </row>
    <row r="516" spans="24:24">
      <c r="X516" s="13"/>
    </row>
    <row r="517" spans="24:24">
      <c r="X517" s="13"/>
    </row>
    <row r="518" spans="24:24">
      <c r="X518" s="13"/>
    </row>
    <row r="519" spans="24:24">
      <c r="X519" s="13"/>
    </row>
    <row r="520" spans="24:24">
      <c r="X520" s="13"/>
    </row>
    <row r="521" spans="24:24">
      <c r="X521" s="13"/>
    </row>
    <row r="522" spans="24:24">
      <c r="X522" s="13"/>
    </row>
    <row r="523" spans="24:24">
      <c r="X523" s="13"/>
    </row>
    <row r="524" spans="24:24">
      <c r="X524" s="13"/>
    </row>
    <row r="525" spans="24:24">
      <c r="X525" s="13"/>
    </row>
    <row r="526" spans="24:24">
      <c r="X526" s="13"/>
    </row>
    <row r="527" spans="24:24">
      <c r="X527" s="13"/>
    </row>
    <row r="528" spans="24:24">
      <c r="X528" s="13"/>
    </row>
    <row r="529" spans="24:24">
      <c r="X529" s="13"/>
    </row>
    <row r="530" spans="24:24">
      <c r="X530" s="13"/>
    </row>
    <row r="531" spans="24:24">
      <c r="X531" s="13"/>
    </row>
    <row r="532" spans="24:24">
      <c r="X532" s="13"/>
    </row>
    <row r="533" spans="24:24">
      <c r="X533" s="13"/>
    </row>
    <row r="534" spans="24:24">
      <c r="X534" s="13"/>
    </row>
    <row r="535" spans="24:24">
      <c r="X535" s="13"/>
    </row>
    <row r="536" spans="24:24">
      <c r="X536" s="13"/>
    </row>
    <row r="537" spans="24:24">
      <c r="X537" s="13"/>
    </row>
    <row r="538" spans="24:24">
      <c r="X538" s="13"/>
    </row>
    <row r="539" spans="24:24">
      <c r="X539" s="13"/>
    </row>
    <row r="540" spans="24:24">
      <c r="X540" s="13"/>
    </row>
    <row r="541" spans="24:24">
      <c r="X541" s="13"/>
    </row>
    <row r="542" spans="24:24">
      <c r="X542" s="13"/>
    </row>
    <row r="543" spans="24:24">
      <c r="X543" s="13"/>
    </row>
    <row r="544" spans="24:24">
      <c r="X544" s="13"/>
    </row>
    <row r="545" spans="24:24">
      <c r="X545" s="13"/>
    </row>
    <row r="546" spans="24:24">
      <c r="X546" s="13"/>
    </row>
    <row r="547" spans="24:24">
      <c r="X547" s="13"/>
    </row>
    <row r="548" spans="24:24">
      <c r="X548" s="13"/>
    </row>
    <row r="549" spans="24:24">
      <c r="X549" s="13"/>
    </row>
    <row r="550" spans="24:24">
      <c r="X550" s="13"/>
    </row>
    <row r="551" spans="24:24">
      <c r="X551" s="13"/>
    </row>
    <row r="552" spans="24:24">
      <c r="X552" s="13"/>
    </row>
    <row r="553" spans="24:24">
      <c r="X553" s="13"/>
    </row>
    <row r="554" spans="24:24">
      <c r="X554" s="13"/>
    </row>
    <row r="555" spans="24:24">
      <c r="X555" s="13"/>
    </row>
    <row r="556" spans="24:24">
      <c r="X556" s="13"/>
    </row>
    <row r="557" spans="24:24">
      <c r="X557" s="13"/>
    </row>
    <row r="558" spans="24:24">
      <c r="X558" s="13"/>
    </row>
    <row r="559" spans="24:24">
      <c r="X559" s="13"/>
    </row>
    <row r="560" spans="24:24">
      <c r="X560" s="13"/>
    </row>
    <row r="561" spans="24:24">
      <c r="X561" s="13"/>
    </row>
    <row r="562" spans="24:24">
      <c r="X562" s="13"/>
    </row>
    <row r="563" spans="24:24">
      <c r="X563" s="13"/>
    </row>
    <row r="564" spans="24:24">
      <c r="X564" s="13"/>
    </row>
    <row r="565" spans="24:24">
      <c r="X565" s="13"/>
    </row>
    <row r="566" spans="24:24">
      <c r="X566" s="13"/>
    </row>
    <row r="567" spans="24:24">
      <c r="X567" s="13"/>
    </row>
    <row r="568" spans="24:24">
      <c r="X568" s="13"/>
    </row>
    <row r="569" spans="24:24">
      <c r="X569" s="13"/>
    </row>
    <row r="570" spans="24:24">
      <c r="X570" s="13"/>
    </row>
    <row r="571" spans="24:24">
      <c r="X571" s="13"/>
    </row>
    <row r="572" spans="24:24">
      <c r="X572" s="13"/>
    </row>
    <row r="573" spans="24:24">
      <c r="X573" s="13"/>
    </row>
    <row r="574" spans="24:24">
      <c r="X574" s="13"/>
    </row>
    <row r="575" spans="24:24">
      <c r="X575" s="13"/>
    </row>
    <row r="576" spans="24:24">
      <c r="X576" s="13"/>
    </row>
    <row r="577" spans="24:24">
      <c r="X577" s="13"/>
    </row>
    <row r="578" spans="24:24">
      <c r="X578" s="13"/>
    </row>
    <row r="579" spans="24:24">
      <c r="X579" s="13"/>
    </row>
    <row r="580" spans="24:24">
      <c r="X580" s="13"/>
    </row>
    <row r="581" spans="24:24">
      <c r="X581" s="13"/>
    </row>
    <row r="582" spans="24:24">
      <c r="X582" s="13"/>
    </row>
    <row r="583" spans="24:24">
      <c r="X583" s="13"/>
    </row>
    <row r="584" spans="24:24">
      <c r="X584" s="13"/>
    </row>
    <row r="585" spans="24:24">
      <c r="X585" s="13"/>
    </row>
    <row r="586" spans="24:24">
      <c r="X586" s="13"/>
    </row>
    <row r="587" spans="24:24">
      <c r="X587" s="13"/>
    </row>
    <row r="588" spans="24:24">
      <c r="X588" s="13"/>
    </row>
    <row r="589" spans="24:24">
      <c r="X589" s="13"/>
    </row>
    <row r="590" spans="24:24">
      <c r="X590" s="13"/>
    </row>
    <row r="591" spans="24:24">
      <c r="X591" s="13"/>
    </row>
    <row r="592" spans="24:24">
      <c r="X592" s="13"/>
    </row>
    <row r="593" spans="24:24">
      <c r="X593" s="13"/>
    </row>
    <row r="594" spans="24:24">
      <c r="X594" s="13"/>
    </row>
    <row r="595" spans="24:24">
      <c r="X595" s="13"/>
    </row>
    <row r="596" spans="24:24">
      <c r="X596" s="13"/>
    </row>
    <row r="597" spans="24:24">
      <c r="X597" s="13"/>
    </row>
    <row r="598" spans="24:24">
      <c r="X598" s="13"/>
    </row>
    <row r="599" spans="24:24">
      <c r="X599" s="13"/>
    </row>
    <row r="600" spans="24:24">
      <c r="X600" s="13"/>
    </row>
    <row r="601" spans="24:24">
      <c r="X601" s="13"/>
    </row>
    <row r="602" spans="24:24">
      <c r="X602" s="13"/>
    </row>
    <row r="603" spans="24:24">
      <c r="X603" s="13"/>
    </row>
    <row r="604" spans="24:24">
      <c r="X604" s="13"/>
    </row>
    <row r="605" spans="24:24">
      <c r="X605" s="13"/>
    </row>
    <row r="606" spans="24:24">
      <c r="X606" s="13"/>
    </row>
    <row r="607" spans="24:24">
      <c r="X607" s="13"/>
    </row>
    <row r="608" spans="24:24">
      <c r="X608" s="13"/>
    </row>
    <row r="609" spans="24:24">
      <c r="X609" s="13"/>
    </row>
    <row r="610" spans="24:24">
      <c r="X610" s="13"/>
    </row>
    <row r="611" spans="24:24">
      <c r="X611" s="13"/>
    </row>
    <row r="612" spans="24:24">
      <c r="X612" s="13"/>
    </row>
    <row r="613" spans="24:24">
      <c r="X613" s="13"/>
    </row>
    <row r="614" spans="24:24">
      <c r="X614" s="13"/>
    </row>
    <row r="615" spans="24:24">
      <c r="X615" s="13"/>
    </row>
    <row r="616" spans="24:24">
      <c r="X616" s="13"/>
    </row>
    <row r="617" spans="24:24">
      <c r="X617" s="13"/>
    </row>
    <row r="618" spans="24:24">
      <c r="X618" s="13"/>
    </row>
    <row r="619" spans="24:24">
      <c r="X619" s="13"/>
    </row>
    <row r="620" spans="24:24">
      <c r="X620" s="13"/>
    </row>
    <row r="621" spans="24:24">
      <c r="X621" s="13"/>
    </row>
    <row r="622" spans="24:24">
      <c r="X622" s="13"/>
    </row>
    <row r="623" spans="24:24">
      <c r="X623" s="13"/>
    </row>
    <row r="624" spans="24:24">
      <c r="X624" s="13"/>
    </row>
    <row r="625" spans="24:24">
      <c r="X625" s="13"/>
    </row>
    <row r="626" spans="24:24">
      <c r="X626" s="13"/>
    </row>
    <row r="627" spans="24:24">
      <c r="X627" s="13"/>
    </row>
    <row r="628" spans="24:24">
      <c r="X628" s="13"/>
    </row>
    <row r="629" spans="24:24">
      <c r="X629" s="13"/>
    </row>
    <row r="630" spans="24:24">
      <c r="X630" s="13"/>
    </row>
    <row r="631" spans="24:24">
      <c r="X631" s="13"/>
    </row>
    <row r="632" spans="24:24">
      <c r="X632" s="13"/>
    </row>
    <row r="633" spans="24:24">
      <c r="X633" s="13"/>
    </row>
    <row r="634" spans="24:24">
      <c r="X634" s="13"/>
    </row>
    <row r="635" spans="24:24">
      <c r="X635" s="13"/>
    </row>
    <row r="636" spans="24:24">
      <c r="X636" s="13"/>
    </row>
    <row r="637" spans="24:24">
      <c r="X637" s="13"/>
    </row>
    <row r="638" spans="24:24">
      <c r="X638" s="13"/>
    </row>
    <row r="639" spans="24:24">
      <c r="X639" s="13"/>
    </row>
    <row r="640" spans="24:24">
      <c r="X640" s="13"/>
    </row>
    <row r="641" spans="24:24">
      <c r="X641" s="13"/>
    </row>
    <row r="642" spans="24:24">
      <c r="X642" s="13"/>
    </row>
    <row r="643" spans="24:24">
      <c r="X643" s="13"/>
    </row>
    <row r="644" spans="24:24">
      <c r="X644" s="13"/>
    </row>
    <row r="645" spans="24:24">
      <c r="X645" s="13"/>
    </row>
    <row r="646" spans="24:24">
      <c r="X646" s="13"/>
    </row>
    <row r="647" spans="24:24">
      <c r="X647" s="13"/>
    </row>
    <row r="648" spans="24:24">
      <c r="X648" s="13"/>
    </row>
    <row r="649" spans="24:24">
      <c r="X649" s="13"/>
    </row>
    <row r="650" spans="24:24">
      <c r="X650" s="13"/>
    </row>
    <row r="651" spans="24:24">
      <c r="X651" s="13"/>
    </row>
    <row r="652" spans="24:24">
      <c r="X652" s="13"/>
    </row>
    <row r="653" spans="24:24">
      <c r="X653" s="13"/>
    </row>
    <row r="654" spans="24:24">
      <c r="X654" s="13"/>
    </row>
    <row r="655" spans="24:24">
      <c r="X655" s="13"/>
    </row>
    <row r="656" spans="24:24">
      <c r="X656" s="13"/>
    </row>
    <row r="657" spans="24:24">
      <c r="X657" s="13"/>
    </row>
    <row r="658" spans="24:24">
      <c r="X658" s="13"/>
    </row>
    <row r="659" spans="24:24">
      <c r="X659" s="13"/>
    </row>
    <row r="660" spans="24:24">
      <c r="X660" s="13"/>
    </row>
    <row r="661" spans="24:24">
      <c r="X661" s="13"/>
    </row>
    <row r="662" spans="24:24">
      <c r="X662" s="13"/>
    </row>
    <row r="663" spans="24:24">
      <c r="X663" s="13"/>
    </row>
    <row r="664" spans="24:24">
      <c r="X664" s="13"/>
    </row>
    <row r="665" spans="24:24">
      <c r="X665" s="13"/>
    </row>
    <row r="666" spans="24:24">
      <c r="X666" s="13"/>
    </row>
    <row r="667" spans="24:24">
      <c r="X667" s="13"/>
    </row>
    <row r="668" spans="24:24">
      <c r="X668" s="13"/>
    </row>
    <row r="669" spans="24:24">
      <c r="X669" s="13"/>
    </row>
    <row r="670" spans="24:24">
      <c r="X670" s="13"/>
    </row>
    <row r="671" spans="24:24">
      <c r="X671" s="13"/>
    </row>
    <row r="672" spans="24:24">
      <c r="X672" s="13"/>
    </row>
    <row r="673" spans="24:24">
      <c r="X673" s="13"/>
    </row>
    <row r="674" spans="24:24">
      <c r="X674" s="13"/>
    </row>
    <row r="675" spans="24:24">
      <c r="X675" s="13"/>
    </row>
    <row r="676" spans="24:24">
      <c r="X676" s="13"/>
    </row>
    <row r="677" spans="24:24">
      <c r="X677" s="13"/>
    </row>
    <row r="678" spans="24:24">
      <c r="X678" s="13"/>
    </row>
    <row r="679" spans="24:24">
      <c r="X679" s="13"/>
    </row>
    <row r="680" spans="24:24">
      <c r="X680" s="13"/>
    </row>
    <row r="681" spans="24:24">
      <c r="X681" s="13"/>
    </row>
    <row r="682" spans="24:24">
      <c r="X682" s="13"/>
    </row>
    <row r="683" spans="24:24">
      <c r="X683" s="13"/>
    </row>
    <row r="684" spans="24:24">
      <c r="X684" s="13"/>
    </row>
    <row r="685" spans="24:24">
      <c r="X685" s="13"/>
    </row>
    <row r="686" spans="24:24">
      <c r="X686" s="13"/>
    </row>
    <row r="687" spans="24:24">
      <c r="X687" s="13"/>
    </row>
    <row r="688" spans="24:24">
      <c r="X688" s="13"/>
    </row>
    <row r="689" spans="24:24">
      <c r="X689" s="13"/>
    </row>
    <row r="690" spans="24:24">
      <c r="X690" s="13"/>
    </row>
    <row r="691" spans="24:24">
      <c r="X691" s="13"/>
    </row>
    <row r="692" spans="24:24">
      <c r="X692" s="13"/>
    </row>
    <row r="693" spans="24:24">
      <c r="X693" s="13"/>
    </row>
    <row r="694" spans="24:24">
      <c r="X694" s="13"/>
    </row>
    <row r="695" spans="24:24">
      <c r="X695" s="13"/>
    </row>
    <row r="696" spans="24:24">
      <c r="X696" s="13"/>
    </row>
    <row r="697" spans="24:24">
      <c r="X697" s="13"/>
    </row>
    <row r="698" spans="24:24">
      <c r="X698" s="13"/>
    </row>
    <row r="699" spans="24:24">
      <c r="X699" s="13"/>
    </row>
    <row r="700" spans="24:24">
      <c r="X700" s="13"/>
    </row>
    <row r="701" spans="24:24">
      <c r="X701" s="13"/>
    </row>
    <row r="702" spans="24:24">
      <c r="X702" s="13"/>
    </row>
    <row r="703" spans="24:24">
      <c r="X703" s="13"/>
    </row>
    <row r="704" spans="24:24">
      <c r="X704" s="13"/>
    </row>
    <row r="705" spans="24:24">
      <c r="X705" s="13"/>
    </row>
    <row r="706" spans="24:24">
      <c r="X706" s="13"/>
    </row>
    <row r="707" spans="24:24">
      <c r="X707" s="13"/>
    </row>
    <row r="708" spans="24:24">
      <c r="X708" s="13"/>
    </row>
    <row r="709" spans="24:24">
      <c r="X709" s="13"/>
    </row>
    <row r="710" spans="24:24">
      <c r="X710" s="13"/>
    </row>
    <row r="711" spans="24:24">
      <c r="X711" s="13"/>
    </row>
    <row r="712" spans="24:24">
      <c r="X712" s="13"/>
    </row>
    <row r="713" spans="24:24">
      <c r="X713" s="13"/>
    </row>
    <row r="714" spans="24:24">
      <c r="X714" s="13"/>
    </row>
    <row r="715" spans="24:24">
      <c r="X715" s="13"/>
    </row>
    <row r="716" spans="24:24">
      <c r="X716" s="13"/>
    </row>
    <row r="717" spans="24:24">
      <c r="X717" s="13"/>
    </row>
    <row r="718" spans="24:24">
      <c r="X718" s="13"/>
    </row>
    <row r="719" spans="24:24">
      <c r="X719" s="13"/>
    </row>
    <row r="720" spans="24:24">
      <c r="X720" s="13"/>
    </row>
    <row r="721" spans="24:24">
      <c r="X721" s="13"/>
    </row>
    <row r="722" spans="24:24">
      <c r="X722" s="13"/>
    </row>
    <row r="723" spans="24:24">
      <c r="X723" s="13"/>
    </row>
    <row r="724" spans="24:24">
      <c r="X724" s="13"/>
    </row>
    <row r="725" spans="24:24">
      <c r="X725" s="13"/>
    </row>
    <row r="726" spans="24:24">
      <c r="X726" s="13"/>
    </row>
    <row r="727" spans="24:24">
      <c r="X727" s="13"/>
    </row>
    <row r="728" spans="24:24">
      <c r="X728" s="13"/>
    </row>
    <row r="729" spans="24:24">
      <c r="X729" s="13"/>
    </row>
    <row r="730" spans="24:24">
      <c r="X730" s="13"/>
    </row>
    <row r="731" spans="24:24">
      <c r="X731" s="13"/>
    </row>
    <row r="732" spans="24:24">
      <c r="X732" s="13"/>
    </row>
    <row r="733" spans="24:24">
      <c r="X733" s="13"/>
    </row>
    <row r="734" spans="24:24">
      <c r="X734" s="13"/>
    </row>
    <row r="735" spans="24:24">
      <c r="X735" s="13"/>
    </row>
    <row r="736" spans="24:24">
      <c r="X736" s="13"/>
    </row>
    <row r="737" spans="24:24">
      <c r="X737" s="13"/>
    </row>
    <row r="738" spans="24:24">
      <c r="X738" s="13"/>
    </row>
    <row r="739" spans="24:24">
      <c r="X739" s="13"/>
    </row>
    <row r="740" spans="24:24">
      <c r="X740" s="13"/>
    </row>
    <row r="741" spans="24:24">
      <c r="X741" s="13"/>
    </row>
    <row r="742" spans="24:24">
      <c r="X742" s="13"/>
    </row>
    <row r="743" spans="24:24">
      <c r="X743" s="13"/>
    </row>
    <row r="744" spans="24:24">
      <c r="X744" s="13"/>
    </row>
    <row r="745" spans="24:24">
      <c r="X745" s="13"/>
    </row>
    <row r="746" spans="24:24">
      <c r="X746" s="13"/>
    </row>
    <row r="747" spans="24:24">
      <c r="X747" s="13"/>
    </row>
    <row r="748" spans="24:24">
      <c r="X748" s="13"/>
    </row>
    <row r="749" spans="24:24">
      <c r="X749" s="13"/>
    </row>
    <row r="750" spans="24:24">
      <c r="X750" s="13"/>
    </row>
    <row r="751" spans="24:24">
      <c r="X751" s="13"/>
    </row>
    <row r="752" spans="24:24">
      <c r="X752" s="13"/>
    </row>
    <row r="753" spans="24:24">
      <c r="X753" s="13"/>
    </row>
    <row r="754" spans="24:24">
      <c r="X754" s="13"/>
    </row>
    <row r="755" spans="24:24">
      <c r="X755" s="13"/>
    </row>
    <row r="756" spans="24:24">
      <c r="X756" s="13"/>
    </row>
    <row r="757" spans="24:24">
      <c r="X757" s="13"/>
    </row>
    <row r="758" spans="24:24">
      <c r="X758" s="13"/>
    </row>
    <row r="759" spans="24:24">
      <c r="X759" s="13"/>
    </row>
    <row r="760" spans="24:24">
      <c r="X760" s="13"/>
    </row>
    <row r="761" spans="24:24">
      <c r="X761" s="13"/>
    </row>
    <row r="762" spans="24:24">
      <c r="X762" s="13"/>
    </row>
    <row r="763" spans="24:24">
      <c r="X763" s="13"/>
    </row>
    <row r="764" spans="24:24">
      <c r="X764" s="13"/>
    </row>
    <row r="765" spans="24:24">
      <c r="X765" s="13"/>
    </row>
    <row r="766" spans="24:24">
      <c r="X766" s="13"/>
    </row>
    <row r="767" spans="24:24">
      <c r="X767" s="13"/>
    </row>
    <row r="768" spans="24:24">
      <c r="X768" s="13"/>
    </row>
    <row r="769" spans="24:24">
      <c r="X769" s="13"/>
    </row>
    <row r="770" spans="24:24">
      <c r="X770" s="13"/>
    </row>
    <row r="771" spans="24:24">
      <c r="X771" s="13"/>
    </row>
    <row r="772" spans="24:24">
      <c r="X772" s="13"/>
    </row>
    <row r="773" spans="24:24">
      <c r="X773" s="13"/>
    </row>
    <row r="774" spans="24:24">
      <c r="X774" s="13"/>
    </row>
    <row r="775" spans="24:24">
      <c r="X775" s="13"/>
    </row>
    <row r="776" spans="24:24">
      <c r="X776" s="13"/>
    </row>
    <row r="777" spans="24:24">
      <c r="X777" s="13"/>
    </row>
    <row r="778" spans="24:24">
      <c r="X778" s="13"/>
    </row>
    <row r="779" spans="24:24">
      <c r="X779" s="13"/>
    </row>
    <row r="780" spans="24:24">
      <c r="X780" s="13"/>
    </row>
    <row r="781" spans="24:24">
      <c r="X781" s="13"/>
    </row>
    <row r="782" spans="24:24">
      <c r="X782" s="13"/>
    </row>
    <row r="783" spans="24:24">
      <c r="X783" s="13"/>
    </row>
    <row r="784" spans="24:24">
      <c r="X784" s="13"/>
    </row>
    <row r="785" spans="24:24">
      <c r="X785" s="13"/>
    </row>
    <row r="786" spans="24:24">
      <c r="X786" s="13"/>
    </row>
    <row r="787" spans="24:24">
      <c r="X787" s="13"/>
    </row>
    <row r="788" spans="24:24">
      <c r="X788" s="13"/>
    </row>
    <row r="789" spans="24:24">
      <c r="X789" s="13"/>
    </row>
    <row r="790" spans="24:24">
      <c r="X790" s="13"/>
    </row>
    <row r="791" spans="24:24">
      <c r="X791" s="13"/>
    </row>
    <row r="792" spans="24:24">
      <c r="X792" s="13"/>
    </row>
    <row r="793" spans="24:24">
      <c r="X793" s="13"/>
    </row>
    <row r="794" spans="24:24">
      <c r="X794" s="13"/>
    </row>
    <row r="795" spans="24:24">
      <c r="X795" s="13"/>
    </row>
    <row r="796" spans="24:24">
      <c r="X796" s="13"/>
    </row>
    <row r="797" spans="24:24">
      <c r="X797" s="13"/>
    </row>
    <row r="798" spans="24:24">
      <c r="X798" s="13"/>
    </row>
    <row r="799" spans="24:24">
      <c r="X799" s="13"/>
    </row>
    <row r="800" spans="24:24">
      <c r="X800" s="13"/>
    </row>
    <row r="801" spans="24:24">
      <c r="X801" s="13"/>
    </row>
    <row r="802" spans="24:24">
      <c r="X802" s="13"/>
    </row>
    <row r="803" spans="24:24">
      <c r="X803" s="13"/>
    </row>
    <row r="804" spans="24:24">
      <c r="X804" s="13"/>
    </row>
    <row r="805" spans="24:24">
      <c r="X805" s="13"/>
    </row>
    <row r="806" spans="24:24">
      <c r="X806" s="13"/>
    </row>
    <row r="807" spans="24:24">
      <c r="X807" s="13"/>
    </row>
    <row r="808" spans="24:24">
      <c r="X808" s="13"/>
    </row>
    <row r="809" spans="24:24">
      <c r="X809" s="13"/>
    </row>
    <row r="810" spans="24:24">
      <c r="X810" s="13"/>
    </row>
    <row r="811" spans="24:24">
      <c r="X811" s="13"/>
    </row>
    <row r="812" spans="24:24">
      <c r="X812" s="13"/>
    </row>
    <row r="813" spans="24:24">
      <c r="X813" s="13"/>
    </row>
    <row r="814" spans="24:24">
      <c r="X814" s="13"/>
    </row>
    <row r="815" spans="24:24">
      <c r="X815" s="13"/>
    </row>
    <row r="816" spans="24:24">
      <c r="X816" s="13"/>
    </row>
    <row r="817" spans="24:24">
      <c r="X817" s="13"/>
    </row>
    <row r="818" spans="24:24">
      <c r="X818" s="13"/>
    </row>
    <row r="819" spans="24:24">
      <c r="X819" s="13"/>
    </row>
    <row r="820" spans="24:24">
      <c r="X820" s="13"/>
    </row>
    <row r="821" spans="24:24">
      <c r="X821" s="13"/>
    </row>
    <row r="822" spans="24:24">
      <c r="X822" s="13"/>
    </row>
    <row r="823" spans="24:24">
      <c r="X823" s="13"/>
    </row>
    <row r="824" spans="24:24">
      <c r="X824" s="13"/>
    </row>
    <row r="825" spans="24:24">
      <c r="X825" s="13"/>
    </row>
    <row r="826" spans="24:24">
      <c r="X826" s="13"/>
    </row>
    <row r="827" spans="24:24">
      <c r="X827" s="13"/>
    </row>
    <row r="828" spans="24:24">
      <c r="X828" s="13"/>
    </row>
    <row r="829" spans="24:24">
      <c r="X829" s="13"/>
    </row>
    <row r="830" spans="24:24">
      <c r="X830" s="13"/>
    </row>
    <row r="831" spans="24:24">
      <c r="X831" s="13"/>
    </row>
    <row r="832" spans="24:24">
      <c r="X832" s="13"/>
    </row>
    <row r="833" spans="24:24">
      <c r="X833" s="13"/>
    </row>
    <row r="834" spans="24:24">
      <c r="X834" s="13"/>
    </row>
    <row r="835" spans="24:24">
      <c r="X835" s="13"/>
    </row>
    <row r="836" spans="24:24">
      <c r="X836" s="13"/>
    </row>
    <row r="837" spans="24:24">
      <c r="X837" s="13"/>
    </row>
    <row r="838" spans="24:24">
      <c r="X838" s="13"/>
    </row>
    <row r="839" spans="24:24">
      <c r="X839" s="13"/>
    </row>
    <row r="840" spans="24:24">
      <c r="X840" s="13"/>
    </row>
    <row r="841" spans="24:24">
      <c r="X841" s="13"/>
    </row>
    <row r="842" spans="24:24">
      <c r="X842" s="13"/>
    </row>
    <row r="843" spans="24:24">
      <c r="X843" s="13"/>
    </row>
    <row r="844" spans="24:24">
      <c r="X844" s="13"/>
    </row>
    <row r="845" spans="24:24">
      <c r="X845" s="13"/>
    </row>
    <row r="846" spans="24:24">
      <c r="X846" s="13"/>
    </row>
    <row r="847" spans="24:24">
      <c r="X847" s="13"/>
    </row>
    <row r="848" spans="24:24">
      <c r="X848" s="13"/>
    </row>
    <row r="849" spans="24:24">
      <c r="X849" s="13"/>
    </row>
    <row r="850" spans="24:24">
      <c r="X850" s="13"/>
    </row>
    <row r="851" spans="24:24">
      <c r="X851" s="13"/>
    </row>
    <row r="852" spans="24:24">
      <c r="X852" s="13"/>
    </row>
    <row r="853" spans="24:24">
      <c r="X853" s="13"/>
    </row>
    <row r="854" spans="24:24">
      <c r="X854" s="13"/>
    </row>
    <row r="855" spans="24:24">
      <c r="X855" s="13"/>
    </row>
    <row r="856" spans="24:24">
      <c r="X856" s="13"/>
    </row>
    <row r="857" spans="24:24">
      <c r="X857" s="13"/>
    </row>
    <row r="858" spans="24:24">
      <c r="X858" s="13"/>
    </row>
    <row r="859" spans="24:24">
      <c r="X859" s="13"/>
    </row>
    <row r="860" spans="24:24">
      <c r="X860" s="13"/>
    </row>
    <row r="861" spans="24:24">
      <c r="X861" s="13"/>
    </row>
    <row r="862" spans="24:24">
      <c r="X862" s="13"/>
    </row>
    <row r="863" spans="24:24">
      <c r="X863" s="13"/>
    </row>
    <row r="864" spans="24:24">
      <c r="X864" s="13"/>
    </row>
    <row r="865" spans="24:24">
      <c r="X865" s="13"/>
    </row>
    <row r="866" spans="24:24">
      <c r="X866" s="13"/>
    </row>
    <row r="867" spans="24:24">
      <c r="X867" s="13"/>
    </row>
    <row r="868" spans="24:24">
      <c r="X868" s="13"/>
    </row>
    <row r="869" spans="24:24">
      <c r="X869" s="13"/>
    </row>
    <row r="870" spans="24:24">
      <c r="X870" s="13"/>
    </row>
    <row r="871" spans="24:24">
      <c r="X871" s="13"/>
    </row>
    <row r="872" spans="24:24">
      <c r="X872" s="13"/>
    </row>
    <row r="873" spans="24:24">
      <c r="X873" s="13"/>
    </row>
    <row r="874" spans="24:24">
      <c r="X874" s="13"/>
    </row>
    <row r="875" spans="24:24">
      <c r="X875" s="13"/>
    </row>
    <row r="876" spans="24:24">
      <c r="X876" s="13"/>
    </row>
    <row r="877" spans="24:24">
      <c r="X877" s="13"/>
    </row>
    <row r="878" spans="24:24">
      <c r="X878" s="13"/>
    </row>
    <row r="879" spans="24:24">
      <c r="X879" s="13"/>
    </row>
    <row r="880" spans="24:24">
      <c r="X880" s="13"/>
    </row>
    <row r="881" spans="24:24">
      <c r="X881" s="13"/>
    </row>
    <row r="882" spans="24:24">
      <c r="X882" s="13"/>
    </row>
    <row r="883" spans="24:24">
      <c r="X883" s="13"/>
    </row>
    <row r="884" spans="24:24">
      <c r="X884" s="13"/>
    </row>
    <row r="885" spans="24:24">
      <c r="X885" s="13"/>
    </row>
    <row r="886" spans="24:24">
      <c r="X886" s="13"/>
    </row>
    <row r="887" spans="24:24">
      <c r="X887" s="13"/>
    </row>
    <row r="888" spans="24:24">
      <c r="X888" s="13"/>
    </row>
    <row r="889" spans="24:24">
      <c r="X889" s="13"/>
    </row>
    <row r="890" spans="24:24">
      <c r="X890" s="13"/>
    </row>
    <row r="891" spans="24:24">
      <c r="X891" s="13"/>
    </row>
    <row r="892" spans="24:24">
      <c r="X892" s="13"/>
    </row>
    <row r="893" spans="24:24">
      <c r="X893" s="13"/>
    </row>
    <row r="894" spans="24:24">
      <c r="X894" s="13"/>
    </row>
    <row r="895" spans="24:24">
      <c r="X895" s="13"/>
    </row>
    <row r="896" spans="24:24">
      <c r="X896" s="13"/>
    </row>
    <row r="897" spans="24:24">
      <c r="X897" s="13"/>
    </row>
    <row r="898" spans="24:24">
      <c r="X898" s="13"/>
    </row>
    <row r="899" spans="24:24">
      <c r="X899" s="13"/>
    </row>
    <row r="900" spans="24:24">
      <c r="X900" s="13"/>
    </row>
    <row r="901" spans="24:24">
      <c r="X901" s="13"/>
    </row>
    <row r="902" spans="24:24">
      <c r="X902" s="13"/>
    </row>
    <row r="903" spans="24:24">
      <c r="X903" s="13"/>
    </row>
    <row r="904" spans="24:24">
      <c r="X904" s="13"/>
    </row>
    <row r="905" spans="24:24">
      <c r="X905" s="13"/>
    </row>
    <row r="906" spans="24:24">
      <c r="X906" s="13"/>
    </row>
    <row r="907" spans="24:24">
      <c r="X907" s="13"/>
    </row>
    <row r="908" spans="24:24">
      <c r="X908" s="13"/>
    </row>
    <row r="909" spans="24:24">
      <c r="X909" s="13"/>
    </row>
    <row r="910" spans="24:24">
      <c r="X910" s="13"/>
    </row>
    <row r="911" spans="24:24">
      <c r="X911" s="13"/>
    </row>
    <row r="912" spans="24:24">
      <c r="X912" s="13"/>
    </row>
    <row r="913" spans="24:24">
      <c r="X913" s="13"/>
    </row>
    <row r="914" spans="24:24">
      <c r="X914" s="13"/>
    </row>
    <row r="915" spans="24:24">
      <c r="X915" s="13"/>
    </row>
    <row r="916" spans="24:24">
      <c r="X916" s="13"/>
    </row>
    <row r="917" spans="24:24">
      <c r="X917" s="13"/>
    </row>
    <row r="918" spans="24:24">
      <c r="X918" s="13"/>
    </row>
    <row r="919" spans="24:24">
      <c r="X919" s="13"/>
    </row>
    <row r="920" spans="24:24">
      <c r="X920" s="13"/>
    </row>
    <row r="921" spans="24:24">
      <c r="X921" s="13"/>
    </row>
    <row r="922" spans="24:24">
      <c r="X922" s="13"/>
    </row>
    <row r="923" spans="24:24">
      <c r="X923" s="13"/>
    </row>
    <row r="924" spans="24:24">
      <c r="X924" s="13"/>
    </row>
    <row r="925" spans="24:24">
      <c r="X925" s="13"/>
    </row>
    <row r="926" spans="24:24">
      <c r="X926" s="13"/>
    </row>
    <row r="927" spans="24:24">
      <c r="X927" s="13"/>
    </row>
    <row r="928" spans="24:24">
      <c r="X928" s="13"/>
    </row>
    <row r="929" spans="24:24">
      <c r="X929" s="13"/>
    </row>
    <row r="930" spans="24:24">
      <c r="X930" s="13"/>
    </row>
    <row r="931" spans="24:24">
      <c r="X931" s="13"/>
    </row>
    <row r="932" spans="24:24">
      <c r="X932" s="13"/>
    </row>
    <row r="933" spans="24:24">
      <c r="X933" s="13"/>
    </row>
    <row r="934" spans="24:24">
      <c r="X934" s="13"/>
    </row>
    <row r="935" spans="24:24">
      <c r="X935" s="13"/>
    </row>
    <row r="936" spans="24:24">
      <c r="X936" s="13"/>
    </row>
    <row r="937" spans="24:24">
      <c r="X937" s="13"/>
    </row>
    <row r="938" spans="24:24">
      <c r="X938" s="13"/>
    </row>
    <row r="939" spans="24:24">
      <c r="X939" s="13"/>
    </row>
    <row r="940" spans="24:24">
      <c r="X940" s="13"/>
    </row>
    <row r="941" spans="24:24">
      <c r="X941" s="13"/>
    </row>
    <row r="942" spans="24:24">
      <c r="X942" s="13"/>
    </row>
    <row r="943" spans="24:24">
      <c r="X943" s="13"/>
    </row>
    <row r="944" spans="24:24">
      <c r="X944" s="13"/>
    </row>
    <row r="945" spans="24:24">
      <c r="X945" s="13"/>
    </row>
    <row r="946" spans="24:24">
      <c r="X946" s="13"/>
    </row>
    <row r="947" spans="24:24">
      <c r="X947" s="13"/>
    </row>
    <row r="948" spans="24:24">
      <c r="X948" s="13"/>
    </row>
    <row r="949" spans="24:24">
      <c r="X949" s="13"/>
    </row>
    <row r="950" spans="24:24">
      <c r="X950" s="13"/>
    </row>
    <row r="951" spans="24:24">
      <c r="X951" s="13"/>
    </row>
    <row r="952" spans="24:24">
      <c r="X952" s="13"/>
    </row>
    <row r="953" spans="24:24">
      <c r="X953" s="13"/>
    </row>
    <row r="954" spans="24:24">
      <c r="X954" s="13"/>
    </row>
    <row r="955" spans="24:24">
      <c r="X955" s="13"/>
    </row>
    <row r="956" spans="24:24">
      <c r="X956" s="13"/>
    </row>
    <row r="957" spans="24:24">
      <c r="X957" s="13"/>
    </row>
    <row r="958" spans="24:24">
      <c r="X958" s="13"/>
    </row>
    <row r="959" spans="24:24">
      <c r="X959" s="13"/>
    </row>
    <row r="960" spans="24:24">
      <c r="X960" s="13"/>
    </row>
    <row r="961" spans="24:24">
      <c r="X961" s="13"/>
    </row>
    <row r="962" spans="24:24">
      <c r="X962" s="13"/>
    </row>
    <row r="963" spans="24:24">
      <c r="X963" s="13"/>
    </row>
    <row r="964" spans="24:24">
      <c r="X964" s="13"/>
    </row>
    <row r="965" spans="24:24">
      <c r="X965" s="13"/>
    </row>
    <row r="966" spans="24:24">
      <c r="X966" s="13"/>
    </row>
    <row r="967" spans="24:24">
      <c r="X967" s="13"/>
    </row>
    <row r="968" spans="24:24">
      <c r="X968" s="13"/>
    </row>
    <row r="969" spans="24:24">
      <c r="X969" s="13"/>
    </row>
    <row r="970" spans="24:24">
      <c r="X970" s="13"/>
    </row>
    <row r="971" spans="24:24">
      <c r="X971" s="13"/>
    </row>
    <row r="972" spans="24:24">
      <c r="X972" s="13"/>
    </row>
    <row r="973" spans="24:24">
      <c r="X973" s="13"/>
    </row>
    <row r="974" spans="24:24">
      <c r="X974" s="13"/>
    </row>
    <row r="975" spans="24:24">
      <c r="X975" s="13"/>
    </row>
    <row r="976" spans="24:24">
      <c r="X976" s="13"/>
    </row>
    <row r="977" spans="24:24">
      <c r="X977" s="13"/>
    </row>
    <row r="978" spans="24:24">
      <c r="X978" s="13"/>
    </row>
    <row r="979" spans="24:24">
      <c r="X979" s="13"/>
    </row>
    <row r="980" spans="24:24">
      <c r="X980" s="13"/>
    </row>
    <row r="981" spans="24:24">
      <c r="X981" s="13"/>
    </row>
    <row r="982" spans="24:24">
      <c r="X982" s="13"/>
    </row>
    <row r="983" spans="24:24">
      <c r="X983" s="13"/>
    </row>
    <row r="984" spans="24:24">
      <c r="X984" s="13"/>
    </row>
    <row r="985" spans="24:24">
      <c r="X985" s="13"/>
    </row>
    <row r="986" spans="24:24">
      <c r="X986" s="13"/>
    </row>
    <row r="987" spans="24:24">
      <c r="X987" s="13"/>
    </row>
    <row r="988" spans="24:24">
      <c r="X988" s="13"/>
    </row>
    <row r="989" spans="24:24">
      <c r="X989" s="13"/>
    </row>
    <row r="990" spans="24:24">
      <c r="X990" s="13"/>
    </row>
    <row r="991" spans="24:24">
      <c r="X991" s="13"/>
    </row>
    <row r="992" spans="24:24">
      <c r="X992" s="13"/>
    </row>
    <row r="993" spans="24:24">
      <c r="X993" s="13"/>
    </row>
    <row r="994" spans="24:24">
      <c r="X994" s="13"/>
    </row>
    <row r="995" spans="24:24">
      <c r="X995" s="13"/>
    </row>
    <row r="996" spans="24:24">
      <c r="X996" s="13"/>
    </row>
    <row r="997" spans="24:24">
      <c r="X997" s="13"/>
    </row>
    <row r="998" spans="24:24">
      <c r="X998" s="13"/>
    </row>
    <row r="999" spans="24:24">
      <c r="X999" s="13"/>
    </row>
    <row r="1000" spans="24:24">
      <c r="X1000" s="13"/>
    </row>
    <row r="1001" spans="24:24">
      <c r="X1001" s="13"/>
    </row>
  </sheetData>
  <autoFilter ref="B6:U16" xr:uid="{00000000-0009-0000-0000-000000000000}">
    <sortState xmlns:xlrd2="http://schemas.microsoft.com/office/spreadsheetml/2017/richdata2" ref="B6:U16">
      <sortCondition ref="E6:E16"/>
    </sortState>
  </autoFilter>
  <mergeCells count="1">
    <mergeCell ref="J5:N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1010"/>
  <sheetViews>
    <sheetView topLeftCell="A4" workbookViewId="0">
      <selection activeCell="B7" sqref="B7"/>
    </sheetView>
  </sheetViews>
  <sheetFormatPr baseColWidth="10" defaultColWidth="12.6640625" defaultRowHeight="12.55" outlineLevelRow="1"/>
  <cols>
    <col min="1" max="2" width="12.6640625" style="12"/>
    <col min="3" max="3" width="19.44140625" style="12" customWidth="1"/>
    <col min="4" max="4" width="12.6640625" style="12"/>
    <col min="5" max="5" width="49.109375" style="12" customWidth="1"/>
    <col min="6" max="6" width="16.77734375" style="12" customWidth="1"/>
    <col min="7" max="7" width="16" style="12" customWidth="1"/>
    <col min="8" max="8" width="14.6640625" style="12" customWidth="1"/>
    <col min="9" max="9" width="17.77734375" style="12" customWidth="1"/>
    <col min="10" max="14" width="12.6640625" style="12"/>
    <col min="15" max="15" width="12.88671875" style="12" customWidth="1"/>
    <col min="16" max="16" width="13.21875" style="12" customWidth="1"/>
    <col min="17" max="20" width="12.6640625" style="12"/>
    <col min="21" max="21" width="17.6640625" style="12" customWidth="1"/>
    <col min="22" max="22" width="12.6640625" style="12"/>
    <col min="23" max="23" width="22.77734375" style="12" customWidth="1"/>
    <col min="24" max="24" width="1.77734375" style="12" customWidth="1"/>
    <col min="25" max="16384" width="12.6640625" style="12"/>
  </cols>
  <sheetData>
    <row r="1" spans="1:48">
      <c r="A1" s="11"/>
      <c r="X1" s="13"/>
    </row>
    <row r="2" spans="1:48">
      <c r="X2" s="13"/>
    </row>
    <row r="3" spans="1:48" ht="30.05">
      <c r="B3" s="14" t="s">
        <v>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X3" s="13"/>
      <c r="Z3" s="16" t="s">
        <v>1</v>
      </c>
    </row>
    <row r="4" spans="1:48" outlineLevel="1">
      <c r="X4" s="13"/>
      <c r="AJ4" s="16">
        <v>140</v>
      </c>
    </row>
    <row r="5" spans="1:48" ht="15.05" outlineLevel="1">
      <c r="G5" s="16"/>
      <c r="H5" s="16"/>
      <c r="I5" s="16"/>
      <c r="J5" s="10" t="s">
        <v>2</v>
      </c>
      <c r="K5" s="17"/>
      <c r="L5" s="17"/>
      <c r="M5" s="17"/>
      <c r="N5" s="18"/>
      <c r="O5" s="1"/>
      <c r="P5" s="1"/>
      <c r="Q5" s="1"/>
      <c r="R5" s="1"/>
      <c r="S5" s="1"/>
      <c r="T5" s="1"/>
      <c r="X5" s="13"/>
    </row>
    <row r="6" spans="1:48" ht="60.1" outlineLevel="1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4" t="s">
        <v>37</v>
      </c>
      <c r="K6" s="4" t="s">
        <v>38</v>
      </c>
      <c r="L6" s="4" t="s">
        <v>39</v>
      </c>
      <c r="M6" s="4" t="s">
        <v>40</v>
      </c>
      <c r="N6" s="4" t="s">
        <v>41</v>
      </c>
      <c r="O6" s="4" t="s">
        <v>42</v>
      </c>
      <c r="P6" s="4" t="s">
        <v>43</v>
      </c>
      <c r="Q6" s="4" t="s">
        <v>44</v>
      </c>
      <c r="R6" s="4" t="s">
        <v>45</v>
      </c>
      <c r="S6" s="4" t="s">
        <v>46</v>
      </c>
      <c r="T6" s="4" t="s">
        <v>47</v>
      </c>
      <c r="U6" s="5" t="s">
        <v>22</v>
      </c>
      <c r="X6" s="13"/>
      <c r="AF6" s="6"/>
      <c r="AG6" s="6"/>
      <c r="AH6" s="7"/>
      <c r="AI6" s="7"/>
      <c r="AJ6" s="7"/>
      <c r="AK6" s="7"/>
      <c r="AL6" s="6"/>
      <c r="AM6" s="6"/>
      <c r="AN6" s="8"/>
      <c r="AO6" s="9"/>
      <c r="AP6" s="9"/>
      <c r="AQ6" s="7"/>
      <c r="AR6" s="7"/>
      <c r="AS6" s="7"/>
      <c r="AT6" s="7"/>
      <c r="AU6" s="19"/>
      <c r="AV6" s="19"/>
    </row>
    <row r="7" spans="1:48" ht="14.4">
      <c r="B7" s="28">
        <v>7226075</v>
      </c>
      <c r="C7" s="21"/>
      <c r="D7" s="22"/>
      <c r="E7" s="23" t="s">
        <v>48</v>
      </c>
      <c r="F7" s="29">
        <v>1478754818</v>
      </c>
      <c r="G7" s="25" t="s">
        <v>24</v>
      </c>
      <c r="H7" s="25" t="s">
        <v>25</v>
      </c>
      <c r="I7" s="26"/>
      <c r="J7" s="25">
        <v>61</v>
      </c>
      <c r="K7" s="25"/>
      <c r="L7" s="25">
        <v>14</v>
      </c>
      <c r="M7" s="25">
        <v>51</v>
      </c>
      <c r="N7" s="25"/>
      <c r="O7" s="25">
        <v>10</v>
      </c>
      <c r="P7" s="25"/>
      <c r="Q7" s="25">
        <v>10</v>
      </c>
      <c r="R7" s="25"/>
      <c r="S7" s="25"/>
      <c r="T7" s="25">
        <f t="shared" ref="T7:T25" si="0">J7+K7+L7+M7+N7+O7+P7+Q7+R7+S7</f>
        <v>146</v>
      </c>
      <c r="U7" s="25">
        <f t="shared" ref="U7:U25" si="1">D7-J7-K7-L7-M7-N7-O7-P7-Q7-R7-S7</f>
        <v>-146</v>
      </c>
      <c r="X7" s="13"/>
    </row>
    <row r="8" spans="1:48" ht="14.4">
      <c r="B8" s="28">
        <v>7226075</v>
      </c>
      <c r="C8" s="21"/>
      <c r="D8" s="22"/>
      <c r="E8" s="23" t="s">
        <v>49</v>
      </c>
      <c r="F8" s="29">
        <v>1478754818</v>
      </c>
      <c r="G8" s="25" t="s">
        <v>24</v>
      </c>
      <c r="H8" s="25" t="s">
        <v>25</v>
      </c>
      <c r="I8" s="26"/>
      <c r="J8" s="25"/>
      <c r="K8" s="25"/>
      <c r="L8" s="25"/>
      <c r="M8" s="25"/>
      <c r="N8" s="25"/>
      <c r="O8" s="25"/>
      <c r="P8" s="25"/>
      <c r="Q8" s="25">
        <v>1</v>
      </c>
      <c r="R8" s="25"/>
      <c r="S8" s="25"/>
      <c r="T8" s="25">
        <f t="shared" si="0"/>
        <v>1</v>
      </c>
      <c r="U8" s="25">
        <f t="shared" si="1"/>
        <v>-1</v>
      </c>
      <c r="X8" s="13"/>
    </row>
    <row r="9" spans="1:48" ht="14.4">
      <c r="B9" s="28">
        <v>7226075</v>
      </c>
      <c r="C9" s="21"/>
      <c r="D9" s="22">
        <f>7+4+3+4+2+12+9+11+11+1+7+1+1+1+12+12+12+12+5+4+1+2+1+1+1+1+2+8+3+1+3+3+3+2+7+5+5+5+2+7+7+7+7+7+1+6+3+1+1+2+1</f>
        <v>237</v>
      </c>
      <c r="E9" s="23" t="s">
        <v>50</v>
      </c>
      <c r="F9" s="29">
        <v>1478754818</v>
      </c>
      <c r="G9" s="25" t="s">
        <v>24</v>
      </c>
      <c r="H9" s="25" t="s">
        <v>25</v>
      </c>
      <c r="I9" s="26"/>
      <c r="J9" s="25"/>
      <c r="K9" s="25"/>
      <c r="L9" s="25"/>
      <c r="M9" s="25"/>
      <c r="N9" s="25"/>
      <c r="O9" s="25"/>
      <c r="P9" s="25"/>
      <c r="Q9" s="25"/>
      <c r="R9" s="25"/>
      <c r="S9" s="25"/>
      <c r="T9" s="25">
        <f t="shared" si="0"/>
        <v>0</v>
      </c>
      <c r="U9" s="25">
        <f t="shared" si="1"/>
        <v>237</v>
      </c>
      <c r="X9" s="13"/>
    </row>
    <row r="10" spans="1:48" ht="14.4">
      <c r="B10" s="28">
        <v>7226075</v>
      </c>
      <c r="C10" s="21"/>
      <c r="D10" s="22"/>
      <c r="E10" s="23" t="s">
        <v>51</v>
      </c>
      <c r="F10" s="29">
        <v>1478754818</v>
      </c>
      <c r="G10" s="25" t="s">
        <v>24</v>
      </c>
      <c r="H10" s="25" t="s">
        <v>25</v>
      </c>
      <c r="I10" s="26"/>
      <c r="J10" s="25"/>
      <c r="K10" s="25">
        <v>31</v>
      </c>
      <c r="L10" s="25">
        <v>1</v>
      </c>
      <c r="M10" s="25"/>
      <c r="N10" s="25"/>
      <c r="O10" s="25"/>
      <c r="P10" s="25">
        <v>1</v>
      </c>
      <c r="Q10" s="25"/>
      <c r="R10" s="25"/>
      <c r="S10" s="25"/>
      <c r="T10" s="25">
        <f t="shared" si="0"/>
        <v>33</v>
      </c>
      <c r="U10" s="25">
        <f t="shared" si="1"/>
        <v>-33</v>
      </c>
      <c r="X10" s="13"/>
    </row>
    <row r="11" spans="1:48" ht="14.4">
      <c r="B11" s="28">
        <v>7226075</v>
      </c>
      <c r="C11" s="21"/>
      <c r="D11" s="22"/>
      <c r="E11" s="23" t="s">
        <v>52</v>
      </c>
      <c r="F11" s="29">
        <v>4149715896</v>
      </c>
      <c r="G11" s="25" t="s">
        <v>24</v>
      </c>
      <c r="H11" s="25" t="s">
        <v>25</v>
      </c>
      <c r="I11" s="26"/>
      <c r="J11" s="25">
        <v>28</v>
      </c>
      <c r="K11" s="25">
        <v>14</v>
      </c>
      <c r="L11" s="25">
        <v>9</v>
      </c>
      <c r="M11" s="25"/>
      <c r="N11" s="25">
        <v>4</v>
      </c>
      <c r="O11" s="25"/>
      <c r="P11" s="25">
        <v>1</v>
      </c>
      <c r="Q11" s="25"/>
      <c r="R11" s="25"/>
      <c r="S11" s="25"/>
      <c r="T11" s="25">
        <f t="shared" si="0"/>
        <v>56</v>
      </c>
      <c r="U11" s="25">
        <f t="shared" si="1"/>
        <v>-56</v>
      </c>
      <c r="X11" s="13"/>
    </row>
    <row r="12" spans="1:48" ht="14.4">
      <c r="B12" s="28">
        <v>7226075</v>
      </c>
      <c r="C12" s="21"/>
      <c r="D12" s="22"/>
      <c r="E12" s="23" t="s">
        <v>53</v>
      </c>
      <c r="F12" s="29">
        <v>4149715896</v>
      </c>
      <c r="G12" s="25" t="s">
        <v>24</v>
      </c>
      <c r="H12" s="25" t="s">
        <v>25</v>
      </c>
      <c r="I12" s="26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>
        <f t="shared" si="0"/>
        <v>0</v>
      </c>
      <c r="U12" s="25">
        <f t="shared" si="1"/>
        <v>0</v>
      </c>
      <c r="X12" s="13"/>
    </row>
    <row r="13" spans="1:48" ht="14.4">
      <c r="B13" s="28">
        <v>7226075</v>
      </c>
      <c r="C13" s="21"/>
      <c r="D13" s="22">
        <f>1+1+64+1+18+1+1+4+3+2+2+3+2+2+1+5+1+1+1+2+4+4+1+2+4+2+2+3+4+4+2+2+1+3+2</f>
        <v>156</v>
      </c>
      <c r="E13" s="23" t="s">
        <v>54</v>
      </c>
      <c r="F13" s="29">
        <v>4149715896</v>
      </c>
      <c r="G13" s="25" t="s">
        <v>24</v>
      </c>
      <c r="H13" s="25" t="s">
        <v>25</v>
      </c>
      <c r="I13" s="26"/>
      <c r="J13" s="25"/>
      <c r="K13" s="25">
        <v>8</v>
      </c>
      <c r="L13" s="25">
        <v>2</v>
      </c>
      <c r="M13" s="25"/>
      <c r="N13" s="25"/>
      <c r="O13" s="25"/>
      <c r="P13" s="25">
        <v>1</v>
      </c>
      <c r="Q13" s="25"/>
      <c r="R13" s="25"/>
      <c r="S13" s="25"/>
      <c r="T13" s="25">
        <f t="shared" si="0"/>
        <v>11</v>
      </c>
      <c r="U13" s="25">
        <f t="shared" si="1"/>
        <v>145</v>
      </c>
      <c r="X13" s="13"/>
    </row>
    <row r="14" spans="1:48" ht="14.4">
      <c r="B14" s="28">
        <v>7226075</v>
      </c>
      <c r="C14" s="21"/>
      <c r="D14" s="22"/>
      <c r="E14" s="23" t="s">
        <v>55</v>
      </c>
      <c r="F14" s="29">
        <v>4149715896</v>
      </c>
      <c r="G14" s="25" t="s">
        <v>24</v>
      </c>
      <c r="H14" s="25" t="s">
        <v>25</v>
      </c>
      <c r="I14" s="26"/>
      <c r="J14" s="25">
        <v>7</v>
      </c>
      <c r="K14" s="25"/>
      <c r="L14" s="25"/>
      <c r="M14" s="25"/>
      <c r="N14" s="25"/>
      <c r="O14" s="25"/>
      <c r="P14" s="25"/>
      <c r="Q14" s="25"/>
      <c r="R14" s="25"/>
      <c r="S14" s="25"/>
      <c r="T14" s="25">
        <f t="shared" si="0"/>
        <v>7</v>
      </c>
      <c r="U14" s="25">
        <f t="shared" si="1"/>
        <v>-7</v>
      </c>
      <c r="X14" s="13"/>
    </row>
    <row r="15" spans="1:48" ht="14.4">
      <c r="B15" s="28">
        <v>7226075</v>
      </c>
      <c r="C15" s="21"/>
      <c r="D15" s="22"/>
      <c r="E15" s="23" t="s">
        <v>56</v>
      </c>
      <c r="F15" s="29">
        <v>4124313398</v>
      </c>
      <c r="G15" s="25" t="s">
        <v>24</v>
      </c>
      <c r="H15" s="25" t="s">
        <v>25</v>
      </c>
      <c r="I15" s="26"/>
      <c r="J15" s="25">
        <v>67</v>
      </c>
      <c r="K15" s="25">
        <v>119</v>
      </c>
      <c r="L15" s="25"/>
      <c r="M15" s="25"/>
      <c r="N15" s="25"/>
      <c r="O15" s="25"/>
      <c r="P15" s="25"/>
      <c r="Q15" s="25">
        <v>14</v>
      </c>
      <c r="R15" s="25"/>
      <c r="S15" s="25"/>
      <c r="T15" s="25">
        <f t="shared" si="0"/>
        <v>200</v>
      </c>
      <c r="U15" s="25">
        <f t="shared" si="1"/>
        <v>-200</v>
      </c>
      <c r="X15" s="13"/>
    </row>
    <row r="16" spans="1:48" ht="14.4">
      <c r="B16" s="28">
        <v>7226075</v>
      </c>
      <c r="C16" s="21"/>
      <c r="D16" s="22"/>
      <c r="E16" s="23" t="s">
        <v>28</v>
      </c>
      <c r="F16" s="29">
        <v>4124313398</v>
      </c>
      <c r="G16" s="25" t="s">
        <v>24</v>
      </c>
      <c r="H16" s="25" t="s">
        <v>25</v>
      </c>
      <c r="I16" s="2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>
        <f t="shared" si="0"/>
        <v>0</v>
      </c>
      <c r="U16" s="25">
        <f t="shared" si="1"/>
        <v>0</v>
      </c>
      <c r="X16" s="13"/>
    </row>
    <row r="17" spans="2:24" ht="14.4">
      <c r="B17" s="28">
        <v>7226075</v>
      </c>
      <c r="C17" s="21"/>
      <c r="D17" s="22">
        <f>14+7+5+3+3+5+5+8+8+7+13+2+10+1+22+8+13+8+17+8+1+10+5+12+5+5+7</f>
        <v>212</v>
      </c>
      <c r="E17" s="23" t="s">
        <v>57</v>
      </c>
      <c r="F17" s="29">
        <v>4124313398</v>
      </c>
      <c r="G17" s="25" t="s">
        <v>24</v>
      </c>
      <c r="H17" s="25" t="s">
        <v>25</v>
      </c>
      <c r="I17" s="2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>
        <f t="shared" si="0"/>
        <v>0</v>
      </c>
      <c r="U17" s="25">
        <f t="shared" si="1"/>
        <v>212</v>
      </c>
      <c r="X17" s="13"/>
    </row>
    <row r="18" spans="2:24" ht="14.4">
      <c r="B18" s="28">
        <v>7226075</v>
      </c>
      <c r="C18" s="21"/>
      <c r="D18" s="22"/>
      <c r="E18" s="23" t="s">
        <v>29</v>
      </c>
      <c r="F18" s="29">
        <v>4124313398</v>
      </c>
      <c r="G18" s="25" t="s">
        <v>24</v>
      </c>
      <c r="H18" s="25" t="s">
        <v>25</v>
      </c>
      <c r="I18" s="26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>
        <f t="shared" si="0"/>
        <v>0</v>
      </c>
      <c r="U18" s="25">
        <f t="shared" si="1"/>
        <v>0</v>
      </c>
      <c r="X18" s="13"/>
    </row>
    <row r="19" spans="2:24" ht="14.4">
      <c r="B19" s="28">
        <v>7226075</v>
      </c>
      <c r="C19" s="21"/>
      <c r="E19" s="23" t="s">
        <v>30</v>
      </c>
      <c r="F19" s="29">
        <v>4124198104</v>
      </c>
      <c r="G19" s="25" t="s">
        <v>24</v>
      </c>
      <c r="H19" s="25" t="s">
        <v>25</v>
      </c>
      <c r="I19" s="26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>
        <f t="shared" si="0"/>
        <v>0</v>
      </c>
      <c r="U19" s="25">
        <f t="shared" si="1"/>
        <v>0</v>
      </c>
      <c r="X19" s="13"/>
    </row>
    <row r="20" spans="2:24" ht="14.4">
      <c r="B20" s="28">
        <v>7226075</v>
      </c>
      <c r="C20" s="21"/>
      <c r="E20" s="23" t="s">
        <v>58</v>
      </c>
      <c r="F20" s="29">
        <v>4124198104</v>
      </c>
      <c r="G20" s="25" t="s">
        <v>24</v>
      </c>
      <c r="H20" s="25" t="s">
        <v>25</v>
      </c>
      <c r="I20" s="26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>
        <f t="shared" si="0"/>
        <v>0</v>
      </c>
      <c r="U20" s="25">
        <f t="shared" si="1"/>
        <v>0</v>
      </c>
      <c r="X20" s="13"/>
    </row>
    <row r="21" spans="2:24" ht="14.4">
      <c r="B21" s="28">
        <v>7226075</v>
      </c>
      <c r="C21" s="21"/>
      <c r="D21" s="16">
        <f>18+26</f>
        <v>44</v>
      </c>
      <c r="E21" s="23" t="s">
        <v>59</v>
      </c>
      <c r="F21" s="29">
        <v>4124198104</v>
      </c>
      <c r="G21" s="25" t="s">
        <v>24</v>
      </c>
      <c r="H21" s="25" t="s">
        <v>25</v>
      </c>
      <c r="I21" s="2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>
        <f t="shared" si="0"/>
        <v>0</v>
      </c>
      <c r="U21" s="25">
        <f t="shared" si="1"/>
        <v>44</v>
      </c>
      <c r="X21" s="13"/>
    </row>
    <row r="22" spans="2:24" ht="14.4">
      <c r="B22" s="28">
        <v>7226075</v>
      </c>
      <c r="C22" s="21"/>
      <c r="E22" s="23" t="s">
        <v>31</v>
      </c>
      <c r="F22" s="29">
        <v>4124198104</v>
      </c>
      <c r="G22" s="25" t="s">
        <v>24</v>
      </c>
      <c r="H22" s="25" t="s">
        <v>25</v>
      </c>
      <c r="I22" s="26"/>
      <c r="J22" s="25">
        <v>1</v>
      </c>
      <c r="K22" s="25"/>
      <c r="L22" s="25"/>
      <c r="M22" s="25"/>
      <c r="N22" s="25"/>
      <c r="O22" s="25"/>
      <c r="P22" s="25"/>
      <c r="Q22" s="25"/>
      <c r="R22" s="25"/>
      <c r="S22" s="25"/>
      <c r="T22" s="25">
        <f t="shared" si="0"/>
        <v>1</v>
      </c>
      <c r="U22" s="25">
        <f t="shared" si="1"/>
        <v>-1</v>
      </c>
      <c r="X22" s="13"/>
    </row>
    <row r="23" spans="2:24" ht="14.4">
      <c r="B23" s="20"/>
      <c r="C23" s="21"/>
      <c r="D23" s="22"/>
      <c r="E23" s="23"/>
      <c r="F23" s="24"/>
      <c r="G23" s="25" t="s">
        <v>24</v>
      </c>
      <c r="H23" s="25" t="s">
        <v>25</v>
      </c>
      <c r="I23" s="26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>
        <f t="shared" si="0"/>
        <v>0</v>
      </c>
      <c r="U23" s="25">
        <f t="shared" si="1"/>
        <v>0</v>
      </c>
      <c r="X23" s="13"/>
    </row>
    <row r="24" spans="2:24" ht="14.4">
      <c r="B24" s="20"/>
      <c r="C24" s="21"/>
      <c r="D24" s="22"/>
      <c r="E24" s="23"/>
      <c r="F24" s="24"/>
      <c r="G24" s="25" t="s">
        <v>24</v>
      </c>
      <c r="H24" s="25" t="s">
        <v>25</v>
      </c>
      <c r="I24" s="26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>
        <f t="shared" si="0"/>
        <v>0</v>
      </c>
      <c r="U24" s="25">
        <f t="shared" si="1"/>
        <v>0</v>
      </c>
      <c r="X24" s="13"/>
    </row>
    <row r="25" spans="2:24" ht="14.4">
      <c r="B25" s="20"/>
      <c r="C25" s="21"/>
      <c r="D25" s="22"/>
      <c r="E25" s="23"/>
      <c r="F25" s="24"/>
      <c r="G25" s="25" t="s">
        <v>24</v>
      </c>
      <c r="H25" s="25" t="s">
        <v>25</v>
      </c>
      <c r="I25" s="22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>
        <f t="shared" si="0"/>
        <v>0</v>
      </c>
      <c r="U25" s="25">
        <f t="shared" si="1"/>
        <v>0</v>
      </c>
      <c r="X25" s="13"/>
    </row>
    <row r="26" spans="2:24">
      <c r="X26" s="13"/>
    </row>
    <row r="27" spans="2:24" ht="15.05">
      <c r="C27" s="30" t="s">
        <v>35</v>
      </c>
      <c r="D27" s="30">
        <f>D7+D11+D15+D19</f>
        <v>0</v>
      </c>
      <c r="I27" s="3" t="s">
        <v>35</v>
      </c>
      <c r="J27" s="25"/>
      <c r="K27" s="27"/>
      <c r="L27" s="27"/>
      <c r="M27" s="25"/>
      <c r="N27" s="25"/>
      <c r="O27" s="25"/>
      <c r="P27" s="27"/>
      <c r="Q27" s="25"/>
      <c r="R27" s="25"/>
      <c r="S27" s="25"/>
      <c r="X27" s="13"/>
    </row>
    <row r="28" spans="2:24">
      <c r="X28" s="13"/>
    </row>
    <row r="29" spans="2:24" ht="15.05">
      <c r="I29" s="3" t="s">
        <v>36</v>
      </c>
      <c r="J29" s="25"/>
      <c r="K29" s="27"/>
      <c r="L29" s="27"/>
      <c r="M29" s="25"/>
      <c r="N29" s="25"/>
      <c r="O29" s="25"/>
      <c r="P29" s="27"/>
      <c r="Q29" s="25"/>
      <c r="R29" s="25"/>
      <c r="S29" s="25"/>
      <c r="X29" s="13"/>
    </row>
    <row r="30" spans="2:24">
      <c r="X30" s="13"/>
    </row>
    <row r="31" spans="2:24">
      <c r="X31" s="13"/>
    </row>
    <row r="32" spans="2:24">
      <c r="X32" s="13"/>
    </row>
    <row r="33" spans="24:24">
      <c r="X33" s="13"/>
    </row>
    <row r="34" spans="24:24">
      <c r="X34" s="13"/>
    </row>
    <row r="35" spans="24:24">
      <c r="X35" s="13"/>
    </row>
    <row r="36" spans="24:24">
      <c r="X36" s="13"/>
    </row>
    <row r="37" spans="24:24">
      <c r="X37" s="13"/>
    </row>
    <row r="38" spans="24:24">
      <c r="X38" s="13"/>
    </row>
    <row r="39" spans="24:24">
      <c r="X39" s="13"/>
    </row>
    <row r="40" spans="24:24">
      <c r="X40" s="13"/>
    </row>
    <row r="41" spans="24:24">
      <c r="X41" s="13"/>
    </row>
    <row r="42" spans="24:24">
      <c r="X42" s="13"/>
    </row>
    <row r="43" spans="24:24">
      <c r="X43" s="13"/>
    </row>
    <row r="44" spans="24:24">
      <c r="X44" s="13"/>
    </row>
    <row r="45" spans="24:24">
      <c r="X45" s="13"/>
    </row>
    <row r="46" spans="24:24">
      <c r="X46" s="13"/>
    </row>
    <row r="47" spans="24:24">
      <c r="X47" s="13"/>
    </row>
    <row r="48" spans="24:24">
      <c r="X48" s="13"/>
    </row>
    <row r="49" spans="24:24">
      <c r="X49" s="13"/>
    </row>
    <row r="50" spans="24:24">
      <c r="X50" s="13"/>
    </row>
    <row r="51" spans="24:24">
      <c r="X51" s="13"/>
    </row>
    <row r="52" spans="24:24">
      <c r="X52" s="13"/>
    </row>
    <row r="53" spans="24:24">
      <c r="X53" s="13"/>
    </row>
    <row r="54" spans="24:24">
      <c r="X54" s="13"/>
    </row>
    <row r="55" spans="24:24">
      <c r="X55" s="13"/>
    </row>
    <row r="56" spans="24:24">
      <c r="X56" s="13"/>
    </row>
    <row r="57" spans="24:24">
      <c r="X57" s="13"/>
    </row>
    <row r="58" spans="24:24">
      <c r="X58" s="13"/>
    </row>
    <row r="59" spans="24:24">
      <c r="X59" s="13"/>
    </row>
    <row r="60" spans="24:24">
      <c r="X60" s="13"/>
    </row>
    <row r="61" spans="24:24">
      <c r="X61" s="13"/>
    </row>
    <row r="62" spans="24:24">
      <c r="X62" s="13"/>
    </row>
    <row r="63" spans="24:24">
      <c r="X63" s="13"/>
    </row>
    <row r="64" spans="24:24">
      <c r="X64" s="13"/>
    </row>
    <row r="65" spans="24:24">
      <c r="X65" s="13"/>
    </row>
    <row r="66" spans="24:24">
      <c r="X66" s="13"/>
    </row>
    <row r="67" spans="24:24">
      <c r="X67" s="13"/>
    </row>
    <row r="68" spans="24:24">
      <c r="X68" s="13"/>
    </row>
    <row r="69" spans="24:24">
      <c r="X69" s="13"/>
    </row>
    <row r="70" spans="24:24">
      <c r="X70" s="13"/>
    </row>
    <row r="71" spans="24:24">
      <c r="X71" s="13"/>
    </row>
    <row r="72" spans="24:24">
      <c r="X72" s="13"/>
    </row>
    <row r="73" spans="24:24">
      <c r="X73" s="13"/>
    </row>
    <row r="74" spans="24:24">
      <c r="X74" s="13"/>
    </row>
    <row r="75" spans="24:24">
      <c r="X75" s="13"/>
    </row>
    <row r="76" spans="24:24">
      <c r="X76" s="13"/>
    </row>
    <row r="77" spans="24:24">
      <c r="X77" s="13"/>
    </row>
    <row r="78" spans="24:24">
      <c r="X78" s="13"/>
    </row>
    <row r="79" spans="24:24">
      <c r="X79" s="13"/>
    </row>
    <row r="80" spans="24:24">
      <c r="X80" s="13"/>
    </row>
    <row r="81" spans="24:24">
      <c r="X81" s="13"/>
    </row>
    <row r="82" spans="24:24">
      <c r="X82" s="13"/>
    </row>
    <row r="83" spans="24:24">
      <c r="X83" s="13"/>
    </row>
    <row r="84" spans="24:24">
      <c r="X84" s="13"/>
    </row>
    <row r="85" spans="24:24">
      <c r="X85" s="13"/>
    </row>
    <row r="86" spans="24:24">
      <c r="X86" s="13"/>
    </row>
    <row r="87" spans="24:24">
      <c r="X87" s="13"/>
    </row>
    <row r="88" spans="24:24">
      <c r="X88" s="13"/>
    </row>
    <row r="89" spans="24:24">
      <c r="X89" s="13"/>
    </row>
    <row r="90" spans="24:24">
      <c r="X90" s="13"/>
    </row>
    <row r="91" spans="24:24">
      <c r="X91" s="13"/>
    </row>
    <row r="92" spans="24:24">
      <c r="X92" s="13"/>
    </row>
    <row r="93" spans="24:24">
      <c r="X93" s="13"/>
    </row>
    <row r="94" spans="24:24">
      <c r="X94" s="13"/>
    </row>
    <row r="95" spans="24:24">
      <c r="X95" s="13"/>
    </row>
    <row r="96" spans="24:24">
      <c r="X96" s="13"/>
    </row>
    <row r="97" spans="24:24">
      <c r="X97" s="13"/>
    </row>
    <row r="98" spans="24:24">
      <c r="X98" s="13"/>
    </row>
    <row r="99" spans="24:24">
      <c r="X99" s="13"/>
    </row>
    <row r="100" spans="24:24">
      <c r="X100" s="13"/>
    </row>
    <row r="101" spans="24:24">
      <c r="X101" s="13"/>
    </row>
    <row r="102" spans="24:24">
      <c r="X102" s="13"/>
    </row>
    <row r="103" spans="24:24">
      <c r="X103" s="13"/>
    </row>
    <row r="104" spans="24:24">
      <c r="X104" s="13"/>
    </row>
    <row r="105" spans="24:24">
      <c r="X105" s="13"/>
    </row>
    <row r="106" spans="24:24">
      <c r="X106" s="13"/>
    </row>
    <row r="107" spans="24:24">
      <c r="X107" s="13"/>
    </row>
    <row r="108" spans="24:24">
      <c r="X108" s="13"/>
    </row>
    <row r="109" spans="24:24">
      <c r="X109" s="13"/>
    </row>
    <row r="110" spans="24:24">
      <c r="X110" s="13"/>
    </row>
    <row r="111" spans="24:24">
      <c r="X111" s="13"/>
    </row>
    <row r="112" spans="24:24">
      <c r="X112" s="13"/>
    </row>
    <row r="113" spans="24:24">
      <c r="X113" s="13"/>
    </row>
    <row r="114" spans="24:24">
      <c r="X114" s="13"/>
    </row>
    <row r="115" spans="24:24">
      <c r="X115" s="13"/>
    </row>
    <row r="116" spans="24:24">
      <c r="X116" s="13"/>
    </row>
    <row r="117" spans="24:24">
      <c r="X117" s="13"/>
    </row>
    <row r="118" spans="24:24">
      <c r="X118" s="13"/>
    </row>
    <row r="119" spans="24:24">
      <c r="X119" s="13"/>
    </row>
    <row r="120" spans="24:24">
      <c r="X120" s="13"/>
    </row>
    <row r="121" spans="24:24">
      <c r="X121" s="13"/>
    </row>
    <row r="122" spans="24:24">
      <c r="X122" s="13"/>
    </row>
    <row r="123" spans="24:24">
      <c r="X123" s="13"/>
    </row>
    <row r="124" spans="24:24">
      <c r="X124" s="13"/>
    </row>
    <row r="125" spans="24:24">
      <c r="X125" s="13"/>
    </row>
    <row r="126" spans="24:24">
      <c r="X126" s="13"/>
    </row>
    <row r="127" spans="24:24">
      <c r="X127" s="13"/>
    </row>
    <row r="128" spans="24:24">
      <c r="X128" s="13"/>
    </row>
    <row r="129" spans="24:24">
      <c r="X129" s="13"/>
    </row>
    <row r="130" spans="24:24">
      <c r="X130" s="13"/>
    </row>
    <row r="131" spans="24:24">
      <c r="X131" s="13"/>
    </row>
    <row r="132" spans="24:24">
      <c r="X132" s="13"/>
    </row>
    <row r="133" spans="24:24">
      <c r="X133" s="13"/>
    </row>
    <row r="134" spans="24:24">
      <c r="X134" s="13"/>
    </row>
    <row r="135" spans="24:24">
      <c r="X135" s="13"/>
    </row>
    <row r="136" spans="24:24">
      <c r="X136" s="13"/>
    </row>
    <row r="137" spans="24:24">
      <c r="X137" s="13"/>
    </row>
    <row r="138" spans="24:24">
      <c r="X138" s="13"/>
    </row>
    <row r="139" spans="24:24">
      <c r="X139" s="13"/>
    </row>
    <row r="140" spans="24:24">
      <c r="X140" s="13"/>
    </row>
    <row r="141" spans="24:24">
      <c r="X141" s="13"/>
    </row>
    <row r="142" spans="24:24">
      <c r="X142" s="13"/>
    </row>
    <row r="143" spans="24:24">
      <c r="X143" s="13"/>
    </row>
    <row r="144" spans="24:24">
      <c r="X144" s="13"/>
    </row>
    <row r="145" spans="24:24">
      <c r="X145" s="13"/>
    </row>
    <row r="146" spans="24:24">
      <c r="X146" s="13"/>
    </row>
    <row r="147" spans="24:24">
      <c r="X147" s="13"/>
    </row>
    <row r="148" spans="24:24">
      <c r="X148" s="13"/>
    </row>
    <row r="149" spans="24:24">
      <c r="X149" s="13"/>
    </row>
    <row r="150" spans="24:24">
      <c r="X150" s="13"/>
    </row>
    <row r="151" spans="24:24">
      <c r="X151" s="13"/>
    </row>
    <row r="152" spans="24:24">
      <c r="X152" s="13"/>
    </row>
    <row r="153" spans="24:24">
      <c r="X153" s="13"/>
    </row>
    <row r="154" spans="24:24">
      <c r="X154" s="13"/>
    </row>
    <row r="155" spans="24:24">
      <c r="X155" s="13"/>
    </row>
    <row r="156" spans="24:24">
      <c r="X156" s="13"/>
    </row>
    <row r="157" spans="24:24">
      <c r="X157" s="13"/>
    </row>
    <row r="158" spans="24:24">
      <c r="X158" s="13"/>
    </row>
    <row r="159" spans="24:24">
      <c r="X159" s="13"/>
    </row>
    <row r="160" spans="24:24">
      <c r="X160" s="13"/>
    </row>
    <row r="161" spans="24:24">
      <c r="X161" s="13"/>
    </row>
    <row r="162" spans="24:24">
      <c r="X162" s="13"/>
    </row>
    <row r="163" spans="24:24">
      <c r="X163" s="13"/>
    </row>
    <row r="164" spans="24:24">
      <c r="X164" s="13"/>
    </row>
    <row r="165" spans="24:24">
      <c r="X165" s="13"/>
    </row>
    <row r="166" spans="24:24">
      <c r="X166" s="13"/>
    </row>
    <row r="167" spans="24:24">
      <c r="X167" s="13"/>
    </row>
    <row r="168" spans="24:24">
      <c r="X168" s="13"/>
    </row>
    <row r="169" spans="24:24">
      <c r="X169" s="13"/>
    </row>
    <row r="170" spans="24:24">
      <c r="X170" s="13"/>
    </row>
    <row r="171" spans="24:24">
      <c r="X171" s="13"/>
    </row>
    <row r="172" spans="24:24">
      <c r="X172" s="13"/>
    </row>
    <row r="173" spans="24:24">
      <c r="X173" s="13"/>
    </row>
    <row r="174" spans="24:24">
      <c r="X174" s="13"/>
    </row>
    <row r="175" spans="24:24">
      <c r="X175" s="13"/>
    </row>
    <row r="176" spans="24:24">
      <c r="X176" s="13"/>
    </row>
    <row r="177" spans="24:24">
      <c r="X177" s="13"/>
    </row>
    <row r="178" spans="24:24">
      <c r="X178" s="13"/>
    </row>
    <row r="179" spans="24:24">
      <c r="X179" s="13"/>
    </row>
    <row r="180" spans="24:24">
      <c r="X180" s="13"/>
    </row>
    <row r="181" spans="24:24">
      <c r="X181" s="13"/>
    </row>
    <row r="182" spans="24:24">
      <c r="X182" s="13"/>
    </row>
    <row r="183" spans="24:24">
      <c r="X183" s="13"/>
    </row>
    <row r="184" spans="24:24">
      <c r="X184" s="13"/>
    </row>
    <row r="185" spans="24:24">
      <c r="X185" s="13"/>
    </row>
    <row r="186" spans="24:24">
      <c r="X186" s="13"/>
    </row>
    <row r="187" spans="24:24">
      <c r="X187" s="13"/>
    </row>
    <row r="188" spans="24:24">
      <c r="X188" s="13"/>
    </row>
    <row r="189" spans="24:24">
      <c r="X189" s="13"/>
    </row>
    <row r="190" spans="24:24">
      <c r="X190" s="13"/>
    </row>
    <row r="191" spans="24:24">
      <c r="X191" s="13"/>
    </row>
    <row r="192" spans="24:24">
      <c r="X192" s="13"/>
    </row>
    <row r="193" spans="24:24">
      <c r="X193" s="13"/>
    </row>
    <row r="194" spans="24:24">
      <c r="X194" s="13"/>
    </row>
    <row r="195" spans="24:24">
      <c r="X195" s="13"/>
    </row>
    <row r="196" spans="24:24">
      <c r="X196" s="13"/>
    </row>
    <row r="197" spans="24:24">
      <c r="X197" s="13"/>
    </row>
    <row r="198" spans="24:24">
      <c r="X198" s="13"/>
    </row>
    <row r="199" spans="24:24">
      <c r="X199" s="13"/>
    </row>
    <row r="200" spans="24:24">
      <c r="X200" s="13"/>
    </row>
    <row r="201" spans="24:24">
      <c r="X201" s="13"/>
    </row>
    <row r="202" spans="24:24">
      <c r="X202" s="13"/>
    </row>
    <row r="203" spans="24:24">
      <c r="X203" s="13"/>
    </row>
    <row r="204" spans="24:24">
      <c r="X204" s="13"/>
    </row>
    <row r="205" spans="24:24">
      <c r="X205" s="13"/>
    </row>
    <row r="206" spans="24:24">
      <c r="X206" s="13"/>
    </row>
    <row r="207" spans="24:24">
      <c r="X207" s="13"/>
    </row>
    <row r="208" spans="24:24">
      <c r="X208" s="13"/>
    </row>
    <row r="209" spans="24:24">
      <c r="X209" s="13"/>
    </row>
    <row r="210" spans="24:24">
      <c r="X210" s="13"/>
    </row>
    <row r="211" spans="24:24">
      <c r="X211" s="13"/>
    </row>
    <row r="212" spans="24:24">
      <c r="X212" s="13"/>
    </row>
    <row r="213" spans="24:24">
      <c r="X213" s="13"/>
    </row>
    <row r="214" spans="24:24">
      <c r="X214" s="13"/>
    </row>
    <row r="215" spans="24:24">
      <c r="X215" s="13"/>
    </row>
    <row r="216" spans="24:24">
      <c r="X216" s="13"/>
    </row>
    <row r="217" spans="24:24">
      <c r="X217" s="13"/>
    </row>
    <row r="218" spans="24:24">
      <c r="X218" s="13"/>
    </row>
    <row r="219" spans="24:24">
      <c r="X219" s="13"/>
    </row>
    <row r="220" spans="24:24">
      <c r="X220" s="13"/>
    </row>
    <row r="221" spans="24:24">
      <c r="X221" s="13"/>
    </row>
    <row r="222" spans="24:24">
      <c r="X222" s="13"/>
    </row>
    <row r="223" spans="24:24">
      <c r="X223" s="13"/>
    </row>
    <row r="224" spans="24:24">
      <c r="X224" s="13"/>
    </row>
    <row r="225" spans="24:24">
      <c r="X225" s="13"/>
    </row>
    <row r="226" spans="24:24">
      <c r="X226" s="13"/>
    </row>
    <row r="227" spans="24:24">
      <c r="X227" s="13"/>
    </row>
    <row r="228" spans="24:24">
      <c r="X228" s="13"/>
    </row>
    <row r="229" spans="24:24">
      <c r="X229" s="13"/>
    </row>
    <row r="230" spans="24:24">
      <c r="X230" s="13"/>
    </row>
    <row r="231" spans="24:24">
      <c r="X231" s="13"/>
    </row>
    <row r="232" spans="24:24">
      <c r="X232" s="13"/>
    </row>
    <row r="233" spans="24:24">
      <c r="X233" s="13"/>
    </row>
    <row r="234" spans="24:24">
      <c r="X234" s="13"/>
    </row>
    <row r="235" spans="24:24">
      <c r="X235" s="13"/>
    </row>
    <row r="236" spans="24:24">
      <c r="X236" s="13"/>
    </row>
    <row r="237" spans="24:24">
      <c r="X237" s="13"/>
    </row>
    <row r="238" spans="24:24">
      <c r="X238" s="13"/>
    </row>
    <row r="239" spans="24:24">
      <c r="X239" s="13"/>
    </row>
    <row r="240" spans="24:24">
      <c r="X240" s="13"/>
    </row>
    <row r="241" spans="24:24">
      <c r="X241" s="13"/>
    </row>
    <row r="242" spans="24:24">
      <c r="X242" s="13"/>
    </row>
    <row r="243" spans="24:24">
      <c r="X243" s="13"/>
    </row>
    <row r="244" spans="24:24">
      <c r="X244" s="13"/>
    </row>
    <row r="245" spans="24:24">
      <c r="X245" s="13"/>
    </row>
    <row r="246" spans="24:24">
      <c r="X246" s="13"/>
    </row>
    <row r="247" spans="24:24">
      <c r="X247" s="13"/>
    </row>
    <row r="248" spans="24:24">
      <c r="X248" s="13"/>
    </row>
    <row r="249" spans="24:24">
      <c r="X249" s="13"/>
    </row>
    <row r="250" spans="24:24">
      <c r="X250" s="13"/>
    </row>
    <row r="251" spans="24:24">
      <c r="X251" s="13"/>
    </row>
    <row r="252" spans="24:24">
      <c r="X252" s="13"/>
    </row>
    <row r="253" spans="24:24">
      <c r="X253" s="13"/>
    </row>
    <row r="254" spans="24:24">
      <c r="X254" s="13"/>
    </row>
    <row r="255" spans="24:24">
      <c r="X255" s="13"/>
    </row>
    <row r="256" spans="24:24">
      <c r="X256" s="13"/>
    </row>
    <row r="257" spans="24:24">
      <c r="X257" s="13"/>
    </row>
    <row r="258" spans="24:24">
      <c r="X258" s="13"/>
    </row>
    <row r="259" spans="24:24">
      <c r="X259" s="13"/>
    </row>
    <row r="260" spans="24:24">
      <c r="X260" s="13"/>
    </row>
    <row r="261" spans="24:24">
      <c r="X261" s="13"/>
    </row>
    <row r="262" spans="24:24">
      <c r="X262" s="13"/>
    </row>
    <row r="263" spans="24:24">
      <c r="X263" s="13"/>
    </row>
    <row r="264" spans="24:24">
      <c r="X264" s="13"/>
    </row>
    <row r="265" spans="24:24">
      <c r="X265" s="13"/>
    </row>
    <row r="266" spans="24:24">
      <c r="X266" s="13"/>
    </row>
    <row r="267" spans="24:24">
      <c r="X267" s="13"/>
    </row>
    <row r="268" spans="24:24">
      <c r="X268" s="13"/>
    </row>
    <row r="269" spans="24:24">
      <c r="X269" s="13"/>
    </row>
    <row r="270" spans="24:24">
      <c r="X270" s="13"/>
    </row>
    <row r="271" spans="24:24">
      <c r="X271" s="13"/>
    </row>
    <row r="272" spans="24:24">
      <c r="X272" s="13"/>
    </row>
    <row r="273" spans="24:24">
      <c r="X273" s="13"/>
    </row>
    <row r="274" spans="24:24">
      <c r="X274" s="13"/>
    </row>
    <row r="275" spans="24:24">
      <c r="X275" s="13"/>
    </row>
    <row r="276" spans="24:24">
      <c r="X276" s="13"/>
    </row>
    <row r="277" spans="24:24">
      <c r="X277" s="13"/>
    </row>
    <row r="278" spans="24:24">
      <c r="X278" s="13"/>
    </row>
    <row r="279" spans="24:24">
      <c r="X279" s="13"/>
    </row>
    <row r="280" spans="24:24">
      <c r="X280" s="13"/>
    </row>
    <row r="281" spans="24:24">
      <c r="X281" s="13"/>
    </row>
    <row r="282" spans="24:24">
      <c r="X282" s="13"/>
    </row>
    <row r="283" spans="24:24">
      <c r="X283" s="13"/>
    </row>
    <row r="284" spans="24:24">
      <c r="X284" s="13"/>
    </row>
    <row r="285" spans="24:24">
      <c r="X285" s="13"/>
    </row>
    <row r="286" spans="24:24">
      <c r="X286" s="13"/>
    </row>
    <row r="287" spans="24:24">
      <c r="X287" s="13"/>
    </row>
    <row r="288" spans="24:24">
      <c r="X288" s="13"/>
    </row>
    <row r="289" spans="24:24">
      <c r="X289" s="13"/>
    </row>
    <row r="290" spans="24:24">
      <c r="X290" s="13"/>
    </row>
    <row r="291" spans="24:24">
      <c r="X291" s="13"/>
    </row>
    <row r="292" spans="24:24">
      <c r="X292" s="13"/>
    </row>
    <row r="293" spans="24:24">
      <c r="X293" s="13"/>
    </row>
    <row r="294" spans="24:24">
      <c r="X294" s="13"/>
    </row>
    <row r="295" spans="24:24">
      <c r="X295" s="13"/>
    </row>
    <row r="296" spans="24:24">
      <c r="X296" s="13"/>
    </row>
    <row r="297" spans="24:24">
      <c r="X297" s="13"/>
    </row>
    <row r="298" spans="24:24">
      <c r="X298" s="13"/>
    </row>
    <row r="299" spans="24:24">
      <c r="X299" s="13"/>
    </row>
    <row r="300" spans="24:24">
      <c r="X300" s="13"/>
    </row>
    <row r="301" spans="24:24">
      <c r="X301" s="13"/>
    </row>
    <row r="302" spans="24:24">
      <c r="X302" s="13"/>
    </row>
    <row r="303" spans="24:24">
      <c r="X303" s="13"/>
    </row>
    <row r="304" spans="24:24">
      <c r="X304" s="13"/>
    </row>
    <row r="305" spans="24:24">
      <c r="X305" s="13"/>
    </row>
    <row r="306" spans="24:24">
      <c r="X306" s="13"/>
    </row>
    <row r="307" spans="24:24">
      <c r="X307" s="13"/>
    </row>
    <row r="308" spans="24:24">
      <c r="X308" s="13"/>
    </row>
    <row r="309" spans="24:24">
      <c r="X309" s="13"/>
    </row>
    <row r="310" spans="24:24">
      <c r="X310" s="13"/>
    </row>
    <row r="311" spans="24:24">
      <c r="X311" s="13"/>
    </row>
    <row r="312" spans="24:24">
      <c r="X312" s="13"/>
    </row>
    <row r="313" spans="24:24">
      <c r="X313" s="13"/>
    </row>
    <row r="314" spans="24:24">
      <c r="X314" s="13"/>
    </row>
    <row r="315" spans="24:24">
      <c r="X315" s="13"/>
    </row>
    <row r="316" spans="24:24">
      <c r="X316" s="13"/>
    </row>
    <row r="317" spans="24:24">
      <c r="X317" s="13"/>
    </row>
    <row r="318" spans="24:24">
      <c r="X318" s="13"/>
    </row>
    <row r="319" spans="24:24">
      <c r="X319" s="13"/>
    </row>
    <row r="320" spans="24:24">
      <c r="X320" s="13"/>
    </row>
    <row r="321" spans="24:24">
      <c r="X321" s="13"/>
    </row>
    <row r="322" spans="24:24">
      <c r="X322" s="13"/>
    </row>
    <row r="323" spans="24:24">
      <c r="X323" s="13"/>
    </row>
    <row r="324" spans="24:24">
      <c r="X324" s="13"/>
    </row>
    <row r="325" spans="24:24">
      <c r="X325" s="13"/>
    </row>
    <row r="326" spans="24:24">
      <c r="X326" s="13"/>
    </row>
    <row r="327" spans="24:24">
      <c r="X327" s="13"/>
    </row>
    <row r="328" spans="24:24">
      <c r="X328" s="13"/>
    </row>
    <row r="329" spans="24:24">
      <c r="X329" s="13"/>
    </row>
    <row r="330" spans="24:24">
      <c r="X330" s="13"/>
    </row>
    <row r="331" spans="24:24">
      <c r="X331" s="13"/>
    </row>
    <row r="332" spans="24:24">
      <c r="X332" s="13"/>
    </row>
    <row r="333" spans="24:24">
      <c r="X333" s="13"/>
    </row>
    <row r="334" spans="24:24">
      <c r="X334" s="13"/>
    </row>
    <row r="335" spans="24:24">
      <c r="X335" s="13"/>
    </row>
    <row r="336" spans="24:24">
      <c r="X336" s="13"/>
    </row>
    <row r="337" spans="24:24">
      <c r="X337" s="13"/>
    </row>
    <row r="338" spans="24:24">
      <c r="X338" s="13"/>
    </row>
    <row r="339" spans="24:24">
      <c r="X339" s="13"/>
    </row>
    <row r="340" spans="24:24">
      <c r="X340" s="13"/>
    </row>
    <row r="341" spans="24:24">
      <c r="X341" s="13"/>
    </row>
    <row r="342" spans="24:24">
      <c r="X342" s="13"/>
    </row>
    <row r="343" spans="24:24">
      <c r="X343" s="13"/>
    </row>
    <row r="344" spans="24:24">
      <c r="X344" s="13"/>
    </row>
    <row r="345" spans="24:24">
      <c r="X345" s="13"/>
    </row>
    <row r="346" spans="24:24">
      <c r="X346" s="13"/>
    </row>
    <row r="347" spans="24:24">
      <c r="X347" s="13"/>
    </row>
    <row r="348" spans="24:24">
      <c r="X348" s="13"/>
    </row>
    <row r="349" spans="24:24">
      <c r="X349" s="13"/>
    </row>
    <row r="350" spans="24:24">
      <c r="X350" s="13"/>
    </row>
    <row r="351" spans="24:24">
      <c r="X351" s="13"/>
    </row>
    <row r="352" spans="24:24">
      <c r="X352" s="13"/>
    </row>
    <row r="353" spans="24:24">
      <c r="X353" s="13"/>
    </row>
    <row r="354" spans="24:24">
      <c r="X354" s="13"/>
    </row>
    <row r="355" spans="24:24">
      <c r="X355" s="13"/>
    </row>
    <row r="356" spans="24:24">
      <c r="X356" s="13"/>
    </row>
    <row r="357" spans="24:24">
      <c r="X357" s="13"/>
    </row>
    <row r="358" spans="24:24">
      <c r="X358" s="13"/>
    </row>
    <row r="359" spans="24:24">
      <c r="X359" s="13"/>
    </row>
    <row r="360" spans="24:24">
      <c r="X360" s="13"/>
    </row>
    <row r="361" spans="24:24">
      <c r="X361" s="13"/>
    </row>
    <row r="362" spans="24:24">
      <c r="X362" s="13"/>
    </row>
    <row r="363" spans="24:24">
      <c r="X363" s="13"/>
    </row>
    <row r="364" spans="24:24">
      <c r="X364" s="13"/>
    </row>
    <row r="365" spans="24:24">
      <c r="X365" s="13"/>
    </row>
    <row r="366" spans="24:24">
      <c r="X366" s="13"/>
    </row>
    <row r="367" spans="24:24">
      <c r="X367" s="13"/>
    </row>
    <row r="368" spans="24:24">
      <c r="X368" s="13"/>
    </row>
    <row r="369" spans="24:24">
      <c r="X369" s="13"/>
    </row>
    <row r="370" spans="24:24">
      <c r="X370" s="13"/>
    </row>
    <row r="371" spans="24:24">
      <c r="X371" s="13"/>
    </row>
    <row r="372" spans="24:24">
      <c r="X372" s="13"/>
    </row>
    <row r="373" spans="24:24">
      <c r="X373" s="13"/>
    </row>
    <row r="374" spans="24:24">
      <c r="X374" s="13"/>
    </row>
    <row r="375" spans="24:24">
      <c r="X375" s="13"/>
    </row>
    <row r="376" spans="24:24">
      <c r="X376" s="13"/>
    </row>
    <row r="377" spans="24:24">
      <c r="X377" s="13"/>
    </row>
    <row r="378" spans="24:24">
      <c r="X378" s="13"/>
    </row>
    <row r="379" spans="24:24">
      <c r="X379" s="13"/>
    </row>
    <row r="380" spans="24:24">
      <c r="X380" s="13"/>
    </row>
    <row r="381" spans="24:24">
      <c r="X381" s="13"/>
    </row>
    <row r="382" spans="24:24">
      <c r="X382" s="13"/>
    </row>
    <row r="383" spans="24:24">
      <c r="X383" s="13"/>
    </row>
    <row r="384" spans="24:24">
      <c r="X384" s="13"/>
    </row>
    <row r="385" spans="24:24">
      <c r="X385" s="13"/>
    </row>
    <row r="386" spans="24:24">
      <c r="X386" s="13"/>
    </row>
    <row r="387" spans="24:24">
      <c r="X387" s="13"/>
    </row>
    <row r="388" spans="24:24">
      <c r="X388" s="13"/>
    </row>
    <row r="389" spans="24:24">
      <c r="X389" s="13"/>
    </row>
    <row r="390" spans="24:24">
      <c r="X390" s="13"/>
    </row>
    <row r="391" spans="24:24">
      <c r="X391" s="13"/>
    </row>
    <row r="392" spans="24:24">
      <c r="X392" s="13"/>
    </row>
    <row r="393" spans="24:24">
      <c r="X393" s="13"/>
    </row>
    <row r="394" spans="24:24">
      <c r="X394" s="13"/>
    </row>
    <row r="395" spans="24:24">
      <c r="X395" s="13"/>
    </row>
    <row r="396" spans="24:24">
      <c r="X396" s="13"/>
    </row>
    <row r="397" spans="24:24">
      <c r="X397" s="13"/>
    </row>
    <row r="398" spans="24:24">
      <c r="X398" s="13"/>
    </row>
    <row r="399" spans="24:24">
      <c r="X399" s="13"/>
    </row>
    <row r="400" spans="24:24">
      <c r="X400" s="13"/>
    </row>
    <row r="401" spans="24:24">
      <c r="X401" s="13"/>
    </row>
    <row r="402" spans="24:24">
      <c r="X402" s="13"/>
    </row>
    <row r="403" spans="24:24">
      <c r="X403" s="13"/>
    </row>
    <row r="404" spans="24:24">
      <c r="X404" s="13"/>
    </row>
    <row r="405" spans="24:24">
      <c r="X405" s="13"/>
    </row>
    <row r="406" spans="24:24">
      <c r="X406" s="13"/>
    </row>
    <row r="407" spans="24:24">
      <c r="X407" s="13"/>
    </row>
    <row r="408" spans="24:24">
      <c r="X408" s="13"/>
    </row>
    <row r="409" spans="24:24">
      <c r="X409" s="13"/>
    </row>
    <row r="410" spans="24:24">
      <c r="X410" s="13"/>
    </row>
    <row r="411" spans="24:24">
      <c r="X411" s="13"/>
    </row>
    <row r="412" spans="24:24">
      <c r="X412" s="13"/>
    </row>
    <row r="413" spans="24:24">
      <c r="X413" s="13"/>
    </row>
    <row r="414" spans="24:24">
      <c r="X414" s="13"/>
    </row>
    <row r="415" spans="24:24">
      <c r="X415" s="13"/>
    </row>
    <row r="416" spans="24:24">
      <c r="X416" s="13"/>
    </row>
    <row r="417" spans="24:24">
      <c r="X417" s="13"/>
    </row>
    <row r="418" spans="24:24">
      <c r="X418" s="13"/>
    </row>
    <row r="419" spans="24:24">
      <c r="X419" s="13"/>
    </row>
    <row r="420" spans="24:24">
      <c r="X420" s="13"/>
    </row>
    <row r="421" spans="24:24">
      <c r="X421" s="13"/>
    </row>
    <row r="422" spans="24:24">
      <c r="X422" s="13"/>
    </row>
    <row r="423" spans="24:24">
      <c r="X423" s="13"/>
    </row>
    <row r="424" spans="24:24">
      <c r="X424" s="13"/>
    </row>
    <row r="425" spans="24:24">
      <c r="X425" s="13"/>
    </row>
    <row r="426" spans="24:24">
      <c r="X426" s="13"/>
    </row>
    <row r="427" spans="24:24">
      <c r="X427" s="13"/>
    </row>
    <row r="428" spans="24:24">
      <c r="X428" s="13"/>
    </row>
    <row r="429" spans="24:24">
      <c r="X429" s="13"/>
    </row>
    <row r="430" spans="24:24">
      <c r="X430" s="13"/>
    </row>
    <row r="431" spans="24:24">
      <c r="X431" s="13"/>
    </row>
    <row r="432" spans="24:24">
      <c r="X432" s="13"/>
    </row>
    <row r="433" spans="24:24">
      <c r="X433" s="13"/>
    </row>
    <row r="434" spans="24:24">
      <c r="X434" s="13"/>
    </row>
    <row r="435" spans="24:24">
      <c r="X435" s="13"/>
    </row>
    <row r="436" spans="24:24">
      <c r="X436" s="13"/>
    </row>
    <row r="437" spans="24:24">
      <c r="X437" s="13"/>
    </row>
    <row r="438" spans="24:24">
      <c r="X438" s="13"/>
    </row>
    <row r="439" spans="24:24">
      <c r="X439" s="13"/>
    </row>
    <row r="440" spans="24:24">
      <c r="X440" s="13"/>
    </row>
    <row r="441" spans="24:24">
      <c r="X441" s="13"/>
    </row>
    <row r="442" spans="24:24">
      <c r="X442" s="13"/>
    </row>
    <row r="443" spans="24:24">
      <c r="X443" s="13"/>
    </row>
    <row r="444" spans="24:24">
      <c r="X444" s="13"/>
    </row>
    <row r="445" spans="24:24">
      <c r="X445" s="13"/>
    </row>
    <row r="446" spans="24:24">
      <c r="X446" s="13"/>
    </row>
    <row r="447" spans="24:24">
      <c r="X447" s="13"/>
    </row>
    <row r="448" spans="24:24">
      <c r="X448" s="13"/>
    </row>
    <row r="449" spans="24:24">
      <c r="X449" s="13"/>
    </row>
    <row r="450" spans="24:24">
      <c r="X450" s="13"/>
    </row>
    <row r="451" spans="24:24">
      <c r="X451" s="13"/>
    </row>
    <row r="452" spans="24:24">
      <c r="X452" s="13"/>
    </row>
    <row r="453" spans="24:24">
      <c r="X453" s="13"/>
    </row>
    <row r="454" spans="24:24">
      <c r="X454" s="13"/>
    </row>
    <row r="455" spans="24:24">
      <c r="X455" s="13"/>
    </row>
    <row r="456" spans="24:24">
      <c r="X456" s="13"/>
    </row>
    <row r="457" spans="24:24">
      <c r="X457" s="13"/>
    </row>
    <row r="458" spans="24:24">
      <c r="X458" s="13"/>
    </row>
    <row r="459" spans="24:24">
      <c r="X459" s="13"/>
    </row>
    <row r="460" spans="24:24">
      <c r="X460" s="13"/>
    </row>
    <row r="461" spans="24:24">
      <c r="X461" s="13"/>
    </row>
    <row r="462" spans="24:24">
      <c r="X462" s="13"/>
    </row>
    <row r="463" spans="24:24">
      <c r="X463" s="13"/>
    </row>
    <row r="464" spans="24:24">
      <c r="X464" s="13"/>
    </row>
    <row r="465" spans="24:24">
      <c r="X465" s="13"/>
    </row>
    <row r="466" spans="24:24">
      <c r="X466" s="13"/>
    </row>
    <row r="467" spans="24:24">
      <c r="X467" s="13"/>
    </row>
    <row r="468" spans="24:24">
      <c r="X468" s="13"/>
    </row>
    <row r="469" spans="24:24">
      <c r="X469" s="13"/>
    </row>
    <row r="470" spans="24:24">
      <c r="X470" s="13"/>
    </row>
    <row r="471" spans="24:24">
      <c r="X471" s="13"/>
    </row>
    <row r="472" spans="24:24">
      <c r="X472" s="13"/>
    </row>
    <row r="473" spans="24:24">
      <c r="X473" s="13"/>
    </row>
    <row r="474" spans="24:24">
      <c r="X474" s="13"/>
    </row>
    <row r="475" spans="24:24">
      <c r="X475" s="13"/>
    </row>
    <row r="476" spans="24:24">
      <c r="X476" s="13"/>
    </row>
    <row r="477" spans="24:24">
      <c r="X477" s="13"/>
    </row>
    <row r="478" spans="24:24">
      <c r="X478" s="13"/>
    </row>
    <row r="479" spans="24:24">
      <c r="X479" s="13"/>
    </row>
    <row r="480" spans="24:24">
      <c r="X480" s="13"/>
    </row>
    <row r="481" spans="24:24">
      <c r="X481" s="13"/>
    </row>
    <row r="482" spans="24:24">
      <c r="X482" s="13"/>
    </row>
    <row r="483" spans="24:24">
      <c r="X483" s="13"/>
    </row>
    <row r="484" spans="24:24">
      <c r="X484" s="13"/>
    </row>
    <row r="485" spans="24:24">
      <c r="X485" s="13"/>
    </row>
    <row r="486" spans="24:24">
      <c r="X486" s="13"/>
    </row>
    <row r="487" spans="24:24">
      <c r="X487" s="13"/>
    </row>
    <row r="488" spans="24:24">
      <c r="X488" s="13"/>
    </row>
    <row r="489" spans="24:24">
      <c r="X489" s="13"/>
    </row>
    <row r="490" spans="24:24">
      <c r="X490" s="13"/>
    </row>
    <row r="491" spans="24:24">
      <c r="X491" s="13"/>
    </row>
    <row r="492" spans="24:24">
      <c r="X492" s="13"/>
    </row>
    <row r="493" spans="24:24">
      <c r="X493" s="13"/>
    </row>
    <row r="494" spans="24:24">
      <c r="X494" s="13"/>
    </row>
    <row r="495" spans="24:24">
      <c r="X495" s="13"/>
    </row>
    <row r="496" spans="24:24">
      <c r="X496" s="13"/>
    </row>
    <row r="497" spans="24:24">
      <c r="X497" s="13"/>
    </row>
    <row r="498" spans="24:24">
      <c r="X498" s="13"/>
    </row>
    <row r="499" spans="24:24">
      <c r="X499" s="13"/>
    </row>
    <row r="500" spans="24:24">
      <c r="X500" s="13"/>
    </row>
    <row r="501" spans="24:24">
      <c r="X501" s="13"/>
    </row>
    <row r="502" spans="24:24">
      <c r="X502" s="13"/>
    </row>
    <row r="503" spans="24:24">
      <c r="X503" s="13"/>
    </row>
    <row r="504" spans="24:24">
      <c r="X504" s="13"/>
    </row>
    <row r="505" spans="24:24">
      <c r="X505" s="13"/>
    </row>
    <row r="506" spans="24:24">
      <c r="X506" s="13"/>
    </row>
    <row r="507" spans="24:24">
      <c r="X507" s="13"/>
    </row>
    <row r="508" spans="24:24">
      <c r="X508" s="13"/>
    </row>
    <row r="509" spans="24:24">
      <c r="X509" s="13"/>
    </row>
    <row r="510" spans="24:24">
      <c r="X510" s="13"/>
    </row>
    <row r="511" spans="24:24">
      <c r="X511" s="13"/>
    </row>
    <row r="512" spans="24:24">
      <c r="X512" s="13"/>
    </row>
    <row r="513" spans="24:24">
      <c r="X513" s="13"/>
    </row>
    <row r="514" spans="24:24">
      <c r="X514" s="13"/>
    </row>
    <row r="515" spans="24:24">
      <c r="X515" s="13"/>
    </row>
    <row r="516" spans="24:24">
      <c r="X516" s="13"/>
    </row>
    <row r="517" spans="24:24">
      <c r="X517" s="13"/>
    </row>
    <row r="518" spans="24:24">
      <c r="X518" s="13"/>
    </row>
    <row r="519" spans="24:24">
      <c r="X519" s="13"/>
    </row>
    <row r="520" spans="24:24">
      <c r="X520" s="13"/>
    </row>
    <row r="521" spans="24:24">
      <c r="X521" s="13"/>
    </row>
    <row r="522" spans="24:24">
      <c r="X522" s="13"/>
    </row>
    <row r="523" spans="24:24">
      <c r="X523" s="13"/>
    </row>
    <row r="524" spans="24:24">
      <c r="X524" s="13"/>
    </row>
    <row r="525" spans="24:24">
      <c r="X525" s="13"/>
    </row>
    <row r="526" spans="24:24">
      <c r="X526" s="13"/>
    </row>
    <row r="527" spans="24:24">
      <c r="X527" s="13"/>
    </row>
    <row r="528" spans="24:24">
      <c r="X528" s="13"/>
    </row>
    <row r="529" spans="24:24">
      <c r="X529" s="13"/>
    </row>
    <row r="530" spans="24:24">
      <c r="X530" s="13"/>
    </row>
    <row r="531" spans="24:24">
      <c r="X531" s="13"/>
    </row>
    <row r="532" spans="24:24">
      <c r="X532" s="13"/>
    </row>
    <row r="533" spans="24:24">
      <c r="X533" s="13"/>
    </row>
    <row r="534" spans="24:24">
      <c r="X534" s="13"/>
    </row>
    <row r="535" spans="24:24">
      <c r="X535" s="13"/>
    </row>
    <row r="536" spans="24:24">
      <c r="X536" s="13"/>
    </row>
    <row r="537" spans="24:24">
      <c r="X537" s="13"/>
    </row>
    <row r="538" spans="24:24">
      <c r="X538" s="13"/>
    </row>
    <row r="539" spans="24:24">
      <c r="X539" s="13"/>
    </row>
    <row r="540" spans="24:24">
      <c r="X540" s="13"/>
    </row>
    <row r="541" spans="24:24">
      <c r="X541" s="13"/>
    </row>
    <row r="542" spans="24:24">
      <c r="X542" s="13"/>
    </row>
    <row r="543" spans="24:24">
      <c r="X543" s="13"/>
    </row>
    <row r="544" spans="24:24">
      <c r="X544" s="13"/>
    </row>
    <row r="545" spans="24:24">
      <c r="X545" s="13"/>
    </row>
    <row r="546" spans="24:24">
      <c r="X546" s="13"/>
    </row>
    <row r="547" spans="24:24">
      <c r="X547" s="13"/>
    </row>
    <row r="548" spans="24:24">
      <c r="X548" s="13"/>
    </row>
    <row r="549" spans="24:24">
      <c r="X549" s="13"/>
    </row>
    <row r="550" spans="24:24">
      <c r="X550" s="13"/>
    </row>
    <row r="551" spans="24:24">
      <c r="X551" s="13"/>
    </row>
    <row r="552" spans="24:24">
      <c r="X552" s="13"/>
    </row>
    <row r="553" spans="24:24">
      <c r="X553" s="13"/>
    </row>
    <row r="554" spans="24:24">
      <c r="X554" s="13"/>
    </row>
    <row r="555" spans="24:24">
      <c r="X555" s="13"/>
    </row>
    <row r="556" spans="24:24">
      <c r="X556" s="13"/>
    </row>
    <row r="557" spans="24:24">
      <c r="X557" s="13"/>
    </row>
    <row r="558" spans="24:24">
      <c r="X558" s="13"/>
    </row>
    <row r="559" spans="24:24">
      <c r="X559" s="13"/>
    </row>
    <row r="560" spans="24:24">
      <c r="X560" s="13"/>
    </row>
    <row r="561" spans="24:24">
      <c r="X561" s="13"/>
    </row>
    <row r="562" spans="24:24">
      <c r="X562" s="13"/>
    </row>
    <row r="563" spans="24:24">
      <c r="X563" s="13"/>
    </row>
    <row r="564" spans="24:24">
      <c r="X564" s="13"/>
    </row>
    <row r="565" spans="24:24">
      <c r="X565" s="13"/>
    </row>
    <row r="566" spans="24:24">
      <c r="X566" s="13"/>
    </row>
    <row r="567" spans="24:24">
      <c r="X567" s="13"/>
    </row>
    <row r="568" spans="24:24">
      <c r="X568" s="13"/>
    </row>
    <row r="569" spans="24:24">
      <c r="X569" s="13"/>
    </row>
    <row r="570" spans="24:24">
      <c r="X570" s="13"/>
    </row>
    <row r="571" spans="24:24">
      <c r="X571" s="13"/>
    </row>
    <row r="572" spans="24:24">
      <c r="X572" s="13"/>
    </row>
    <row r="573" spans="24:24">
      <c r="X573" s="13"/>
    </row>
    <row r="574" spans="24:24">
      <c r="X574" s="13"/>
    </row>
    <row r="575" spans="24:24">
      <c r="X575" s="13"/>
    </row>
    <row r="576" spans="24:24">
      <c r="X576" s="13"/>
    </row>
    <row r="577" spans="24:24">
      <c r="X577" s="13"/>
    </row>
    <row r="578" spans="24:24">
      <c r="X578" s="13"/>
    </row>
    <row r="579" spans="24:24">
      <c r="X579" s="13"/>
    </row>
    <row r="580" spans="24:24">
      <c r="X580" s="13"/>
    </row>
    <row r="581" spans="24:24">
      <c r="X581" s="13"/>
    </row>
    <row r="582" spans="24:24">
      <c r="X582" s="13"/>
    </row>
    <row r="583" spans="24:24">
      <c r="X583" s="13"/>
    </row>
    <row r="584" spans="24:24">
      <c r="X584" s="13"/>
    </row>
    <row r="585" spans="24:24">
      <c r="X585" s="13"/>
    </row>
    <row r="586" spans="24:24">
      <c r="X586" s="13"/>
    </row>
    <row r="587" spans="24:24">
      <c r="X587" s="13"/>
    </row>
    <row r="588" spans="24:24">
      <c r="X588" s="13"/>
    </row>
    <row r="589" spans="24:24">
      <c r="X589" s="13"/>
    </row>
    <row r="590" spans="24:24">
      <c r="X590" s="13"/>
    </row>
    <row r="591" spans="24:24">
      <c r="X591" s="13"/>
    </row>
    <row r="592" spans="24:24">
      <c r="X592" s="13"/>
    </row>
    <row r="593" spans="24:24">
      <c r="X593" s="13"/>
    </row>
    <row r="594" spans="24:24">
      <c r="X594" s="13"/>
    </row>
    <row r="595" spans="24:24">
      <c r="X595" s="13"/>
    </row>
    <row r="596" spans="24:24">
      <c r="X596" s="13"/>
    </row>
    <row r="597" spans="24:24">
      <c r="X597" s="13"/>
    </row>
    <row r="598" spans="24:24">
      <c r="X598" s="13"/>
    </row>
    <row r="599" spans="24:24">
      <c r="X599" s="13"/>
    </row>
    <row r="600" spans="24:24">
      <c r="X600" s="13"/>
    </row>
    <row r="601" spans="24:24">
      <c r="X601" s="13"/>
    </row>
    <row r="602" spans="24:24">
      <c r="X602" s="13"/>
    </row>
    <row r="603" spans="24:24">
      <c r="X603" s="13"/>
    </row>
    <row r="604" spans="24:24">
      <c r="X604" s="13"/>
    </row>
    <row r="605" spans="24:24">
      <c r="X605" s="13"/>
    </row>
    <row r="606" spans="24:24">
      <c r="X606" s="13"/>
    </row>
    <row r="607" spans="24:24">
      <c r="X607" s="13"/>
    </row>
    <row r="608" spans="24:24">
      <c r="X608" s="13"/>
    </row>
    <row r="609" spans="24:24">
      <c r="X609" s="13"/>
    </row>
    <row r="610" spans="24:24">
      <c r="X610" s="13"/>
    </row>
    <row r="611" spans="24:24">
      <c r="X611" s="13"/>
    </row>
    <row r="612" spans="24:24">
      <c r="X612" s="13"/>
    </row>
    <row r="613" spans="24:24">
      <c r="X613" s="13"/>
    </row>
    <row r="614" spans="24:24">
      <c r="X614" s="13"/>
    </row>
    <row r="615" spans="24:24">
      <c r="X615" s="13"/>
    </row>
    <row r="616" spans="24:24">
      <c r="X616" s="13"/>
    </row>
    <row r="617" spans="24:24">
      <c r="X617" s="13"/>
    </row>
    <row r="618" spans="24:24">
      <c r="X618" s="13"/>
    </row>
    <row r="619" spans="24:24">
      <c r="X619" s="13"/>
    </row>
    <row r="620" spans="24:24">
      <c r="X620" s="13"/>
    </row>
    <row r="621" spans="24:24">
      <c r="X621" s="13"/>
    </row>
    <row r="622" spans="24:24">
      <c r="X622" s="13"/>
    </row>
    <row r="623" spans="24:24">
      <c r="X623" s="13"/>
    </row>
    <row r="624" spans="24:24">
      <c r="X624" s="13"/>
    </row>
    <row r="625" spans="24:24">
      <c r="X625" s="13"/>
    </row>
    <row r="626" spans="24:24">
      <c r="X626" s="13"/>
    </row>
    <row r="627" spans="24:24">
      <c r="X627" s="13"/>
    </row>
    <row r="628" spans="24:24">
      <c r="X628" s="13"/>
    </row>
    <row r="629" spans="24:24">
      <c r="X629" s="13"/>
    </row>
    <row r="630" spans="24:24">
      <c r="X630" s="13"/>
    </row>
    <row r="631" spans="24:24">
      <c r="X631" s="13"/>
    </row>
    <row r="632" spans="24:24">
      <c r="X632" s="13"/>
    </row>
    <row r="633" spans="24:24">
      <c r="X633" s="13"/>
    </row>
    <row r="634" spans="24:24">
      <c r="X634" s="13"/>
    </row>
    <row r="635" spans="24:24">
      <c r="X635" s="13"/>
    </row>
    <row r="636" spans="24:24">
      <c r="X636" s="13"/>
    </row>
    <row r="637" spans="24:24">
      <c r="X637" s="13"/>
    </row>
    <row r="638" spans="24:24">
      <c r="X638" s="13"/>
    </row>
    <row r="639" spans="24:24">
      <c r="X639" s="13"/>
    </row>
    <row r="640" spans="24:24">
      <c r="X640" s="13"/>
    </row>
    <row r="641" spans="24:24">
      <c r="X641" s="13"/>
    </row>
    <row r="642" spans="24:24">
      <c r="X642" s="13"/>
    </row>
    <row r="643" spans="24:24">
      <c r="X643" s="13"/>
    </row>
    <row r="644" spans="24:24">
      <c r="X644" s="13"/>
    </row>
    <row r="645" spans="24:24">
      <c r="X645" s="13"/>
    </row>
    <row r="646" spans="24:24">
      <c r="X646" s="13"/>
    </row>
    <row r="647" spans="24:24">
      <c r="X647" s="13"/>
    </row>
    <row r="648" spans="24:24">
      <c r="X648" s="13"/>
    </row>
    <row r="649" spans="24:24">
      <c r="X649" s="13"/>
    </row>
    <row r="650" spans="24:24">
      <c r="X650" s="13"/>
    </row>
    <row r="651" spans="24:24">
      <c r="X651" s="13"/>
    </row>
    <row r="652" spans="24:24">
      <c r="X652" s="13"/>
    </row>
    <row r="653" spans="24:24">
      <c r="X653" s="13"/>
    </row>
    <row r="654" spans="24:24">
      <c r="X654" s="13"/>
    </row>
    <row r="655" spans="24:24">
      <c r="X655" s="13"/>
    </row>
    <row r="656" spans="24:24">
      <c r="X656" s="13"/>
    </row>
    <row r="657" spans="24:24">
      <c r="X657" s="13"/>
    </row>
    <row r="658" spans="24:24">
      <c r="X658" s="13"/>
    </row>
    <row r="659" spans="24:24">
      <c r="X659" s="13"/>
    </row>
    <row r="660" spans="24:24">
      <c r="X660" s="13"/>
    </row>
    <row r="661" spans="24:24">
      <c r="X661" s="13"/>
    </row>
    <row r="662" spans="24:24">
      <c r="X662" s="13"/>
    </row>
    <row r="663" spans="24:24">
      <c r="X663" s="13"/>
    </row>
    <row r="664" spans="24:24">
      <c r="X664" s="13"/>
    </row>
    <row r="665" spans="24:24">
      <c r="X665" s="13"/>
    </row>
    <row r="666" spans="24:24">
      <c r="X666" s="13"/>
    </row>
    <row r="667" spans="24:24">
      <c r="X667" s="13"/>
    </row>
    <row r="668" spans="24:24">
      <c r="X668" s="13"/>
    </row>
    <row r="669" spans="24:24">
      <c r="X669" s="13"/>
    </row>
    <row r="670" spans="24:24">
      <c r="X670" s="13"/>
    </row>
    <row r="671" spans="24:24">
      <c r="X671" s="13"/>
    </row>
    <row r="672" spans="24:24">
      <c r="X672" s="13"/>
    </row>
    <row r="673" spans="24:24">
      <c r="X673" s="13"/>
    </row>
    <row r="674" spans="24:24">
      <c r="X674" s="13"/>
    </row>
    <row r="675" spans="24:24">
      <c r="X675" s="13"/>
    </row>
    <row r="676" spans="24:24">
      <c r="X676" s="13"/>
    </row>
    <row r="677" spans="24:24">
      <c r="X677" s="13"/>
    </row>
    <row r="678" spans="24:24">
      <c r="X678" s="13"/>
    </row>
    <row r="679" spans="24:24">
      <c r="X679" s="13"/>
    </row>
    <row r="680" spans="24:24">
      <c r="X680" s="13"/>
    </row>
    <row r="681" spans="24:24">
      <c r="X681" s="13"/>
    </row>
    <row r="682" spans="24:24">
      <c r="X682" s="13"/>
    </row>
    <row r="683" spans="24:24">
      <c r="X683" s="13"/>
    </row>
    <row r="684" spans="24:24">
      <c r="X684" s="13"/>
    </row>
    <row r="685" spans="24:24">
      <c r="X685" s="13"/>
    </row>
    <row r="686" spans="24:24">
      <c r="X686" s="13"/>
    </row>
    <row r="687" spans="24:24">
      <c r="X687" s="13"/>
    </row>
    <row r="688" spans="24:24">
      <c r="X688" s="13"/>
    </row>
    <row r="689" spans="24:24">
      <c r="X689" s="13"/>
    </row>
    <row r="690" spans="24:24">
      <c r="X690" s="13"/>
    </row>
    <row r="691" spans="24:24">
      <c r="X691" s="13"/>
    </row>
    <row r="692" spans="24:24">
      <c r="X692" s="13"/>
    </row>
    <row r="693" spans="24:24">
      <c r="X693" s="13"/>
    </row>
    <row r="694" spans="24:24">
      <c r="X694" s="13"/>
    </row>
    <row r="695" spans="24:24">
      <c r="X695" s="13"/>
    </row>
    <row r="696" spans="24:24">
      <c r="X696" s="13"/>
    </row>
    <row r="697" spans="24:24">
      <c r="X697" s="13"/>
    </row>
    <row r="698" spans="24:24">
      <c r="X698" s="13"/>
    </row>
    <row r="699" spans="24:24">
      <c r="X699" s="13"/>
    </row>
    <row r="700" spans="24:24">
      <c r="X700" s="13"/>
    </row>
    <row r="701" spans="24:24">
      <c r="X701" s="13"/>
    </row>
    <row r="702" spans="24:24">
      <c r="X702" s="13"/>
    </row>
    <row r="703" spans="24:24">
      <c r="X703" s="13"/>
    </row>
    <row r="704" spans="24:24">
      <c r="X704" s="13"/>
    </row>
    <row r="705" spans="24:24">
      <c r="X705" s="13"/>
    </row>
    <row r="706" spans="24:24">
      <c r="X706" s="13"/>
    </row>
    <row r="707" spans="24:24">
      <c r="X707" s="13"/>
    </row>
    <row r="708" spans="24:24">
      <c r="X708" s="13"/>
    </row>
    <row r="709" spans="24:24">
      <c r="X709" s="13"/>
    </row>
    <row r="710" spans="24:24">
      <c r="X710" s="13"/>
    </row>
    <row r="711" spans="24:24">
      <c r="X711" s="13"/>
    </row>
    <row r="712" spans="24:24">
      <c r="X712" s="13"/>
    </row>
    <row r="713" spans="24:24">
      <c r="X713" s="13"/>
    </row>
    <row r="714" spans="24:24">
      <c r="X714" s="13"/>
    </row>
    <row r="715" spans="24:24">
      <c r="X715" s="13"/>
    </row>
    <row r="716" spans="24:24">
      <c r="X716" s="13"/>
    </row>
    <row r="717" spans="24:24">
      <c r="X717" s="13"/>
    </row>
    <row r="718" spans="24:24">
      <c r="X718" s="13"/>
    </row>
    <row r="719" spans="24:24">
      <c r="X719" s="13"/>
    </row>
    <row r="720" spans="24:24">
      <c r="X720" s="13"/>
    </row>
    <row r="721" spans="24:24">
      <c r="X721" s="13"/>
    </row>
    <row r="722" spans="24:24">
      <c r="X722" s="13"/>
    </row>
    <row r="723" spans="24:24">
      <c r="X723" s="13"/>
    </row>
    <row r="724" spans="24:24">
      <c r="X724" s="13"/>
    </row>
    <row r="725" spans="24:24">
      <c r="X725" s="13"/>
    </row>
    <row r="726" spans="24:24">
      <c r="X726" s="13"/>
    </row>
    <row r="727" spans="24:24">
      <c r="X727" s="13"/>
    </row>
    <row r="728" spans="24:24">
      <c r="X728" s="13"/>
    </row>
    <row r="729" spans="24:24">
      <c r="X729" s="13"/>
    </row>
    <row r="730" spans="24:24">
      <c r="X730" s="13"/>
    </row>
    <row r="731" spans="24:24">
      <c r="X731" s="13"/>
    </row>
    <row r="732" spans="24:24">
      <c r="X732" s="13"/>
    </row>
    <row r="733" spans="24:24">
      <c r="X733" s="13"/>
    </row>
    <row r="734" spans="24:24">
      <c r="X734" s="13"/>
    </row>
    <row r="735" spans="24:24">
      <c r="X735" s="13"/>
    </row>
    <row r="736" spans="24:24">
      <c r="X736" s="13"/>
    </row>
    <row r="737" spans="24:24">
      <c r="X737" s="13"/>
    </row>
    <row r="738" spans="24:24">
      <c r="X738" s="13"/>
    </row>
    <row r="739" spans="24:24">
      <c r="X739" s="13"/>
    </row>
    <row r="740" spans="24:24">
      <c r="X740" s="13"/>
    </row>
    <row r="741" spans="24:24">
      <c r="X741" s="13"/>
    </row>
    <row r="742" spans="24:24">
      <c r="X742" s="13"/>
    </row>
    <row r="743" spans="24:24">
      <c r="X743" s="13"/>
    </row>
    <row r="744" spans="24:24">
      <c r="X744" s="13"/>
    </row>
    <row r="745" spans="24:24">
      <c r="X745" s="13"/>
    </row>
    <row r="746" spans="24:24">
      <c r="X746" s="13"/>
    </row>
    <row r="747" spans="24:24">
      <c r="X747" s="13"/>
    </row>
    <row r="748" spans="24:24">
      <c r="X748" s="13"/>
    </row>
    <row r="749" spans="24:24">
      <c r="X749" s="13"/>
    </row>
    <row r="750" spans="24:24">
      <c r="X750" s="13"/>
    </row>
    <row r="751" spans="24:24">
      <c r="X751" s="13"/>
    </row>
    <row r="752" spans="24:24">
      <c r="X752" s="13"/>
    </row>
    <row r="753" spans="24:24">
      <c r="X753" s="13"/>
    </row>
    <row r="754" spans="24:24">
      <c r="X754" s="13"/>
    </row>
    <row r="755" spans="24:24">
      <c r="X755" s="13"/>
    </row>
    <row r="756" spans="24:24">
      <c r="X756" s="13"/>
    </row>
    <row r="757" spans="24:24">
      <c r="X757" s="13"/>
    </row>
    <row r="758" spans="24:24">
      <c r="X758" s="13"/>
    </row>
    <row r="759" spans="24:24">
      <c r="X759" s="13"/>
    </row>
    <row r="760" spans="24:24">
      <c r="X760" s="13"/>
    </row>
    <row r="761" spans="24:24">
      <c r="X761" s="13"/>
    </row>
    <row r="762" spans="24:24">
      <c r="X762" s="13"/>
    </row>
    <row r="763" spans="24:24">
      <c r="X763" s="13"/>
    </row>
    <row r="764" spans="24:24">
      <c r="X764" s="13"/>
    </row>
    <row r="765" spans="24:24">
      <c r="X765" s="13"/>
    </row>
    <row r="766" spans="24:24">
      <c r="X766" s="13"/>
    </row>
    <row r="767" spans="24:24">
      <c r="X767" s="13"/>
    </row>
    <row r="768" spans="24:24">
      <c r="X768" s="13"/>
    </row>
    <row r="769" spans="24:24">
      <c r="X769" s="13"/>
    </row>
    <row r="770" spans="24:24">
      <c r="X770" s="13"/>
    </row>
    <row r="771" spans="24:24">
      <c r="X771" s="13"/>
    </row>
    <row r="772" spans="24:24">
      <c r="X772" s="13"/>
    </row>
    <row r="773" spans="24:24">
      <c r="X773" s="13"/>
    </row>
    <row r="774" spans="24:24">
      <c r="X774" s="13"/>
    </row>
    <row r="775" spans="24:24">
      <c r="X775" s="13"/>
    </row>
    <row r="776" spans="24:24">
      <c r="X776" s="13"/>
    </row>
    <row r="777" spans="24:24">
      <c r="X777" s="13"/>
    </row>
    <row r="778" spans="24:24">
      <c r="X778" s="13"/>
    </row>
    <row r="779" spans="24:24">
      <c r="X779" s="13"/>
    </row>
    <row r="780" spans="24:24">
      <c r="X780" s="13"/>
    </row>
    <row r="781" spans="24:24">
      <c r="X781" s="13"/>
    </row>
    <row r="782" spans="24:24">
      <c r="X782" s="13"/>
    </row>
    <row r="783" spans="24:24">
      <c r="X783" s="13"/>
    </row>
    <row r="784" spans="24:24">
      <c r="X784" s="13"/>
    </row>
    <row r="785" spans="24:24">
      <c r="X785" s="13"/>
    </row>
    <row r="786" spans="24:24">
      <c r="X786" s="13"/>
    </row>
    <row r="787" spans="24:24">
      <c r="X787" s="13"/>
    </row>
    <row r="788" spans="24:24">
      <c r="X788" s="13"/>
    </row>
    <row r="789" spans="24:24">
      <c r="X789" s="13"/>
    </row>
    <row r="790" spans="24:24">
      <c r="X790" s="13"/>
    </row>
    <row r="791" spans="24:24">
      <c r="X791" s="13"/>
    </row>
    <row r="792" spans="24:24">
      <c r="X792" s="13"/>
    </row>
    <row r="793" spans="24:24">
      <c r="X793" s="13"/>
    </row>
    <row r="794" spans="24:24">
      <c r="X794" s="13"/>
    </row>
    <row r="795" spans="24:24">
      <c r="X795" s="13"/>
    </row>
    <row r="796" spans="24:24">
      <c r="X796" s="13"/>
    </row>
    <row r="797" spans="24:24">
      <c r="X797" s="13"/>
    </row>
    <row r="798" spans="24:24">
      <c r="X798" s="13"/>
    </row>
    <row r="799" spans="24:24">
      <c r="X799" s="13"/>
    </row>
    <row r="800" spans="24:24">
      <c r="X800" s="13"/>
    </row>
    <row r="801" spans="24:24">
      <c r="X801" s="13"/>
    </row>
    <row r="802" spans="24:24">
      <c r="X802" s="13"/>
    </row>
    <row r="803" spans="24:24">
      <c r="X803" s="13"/>
    </row>
    <row r="804" spans="24:24">
      <c r="X804" s="13"/>
    </row>
    <row r="805" spans="24:24">
      <c r="X805" s="13"/>
    </row>
    <row r="806" spans="24:24">
      <c r="X806" s="13"/>
    </row>
    <row r="807" spans="24:24">
      <c r="X807" s="13"/>
    </row>
    <row r="808" spans="24:24">
      <c r="X808" s="13"/>
    </row>
    <row r="809" spans="24:24">
      <c r="X809" s="13"/>
    </row>
    <row r="810" spans="24:24">
      <c r="X810" s="13"/>
    </row>
    <row r="811" spans="24:24">
      <c r="X811" s="13"/>
    </row>
    <row r="812" spans="24:24">
      <c r="X812" s="13"/>
    </row>
    <row r="813" spans="24:24">
      <c r="X813" s="13"/>
    </row>
    <row r="814" spans="24:24">
      <c r="X814" s="13"/>
    </row>
    <row r="815" spans="24:24">
      <c r="X815" s="13"/>
    </row>
    <row r="816" spans="24:24">
      <c r="X816" s="13"/>
    </row>
    <row r="817" spans="24:24">
      <c r="X817" s="13"/>
    </row>
    <row r="818" spans="24:24">
      <c r="X818" s="13"/>
    </row>
    <row r="819" spans="24:24">
      <c r="X819" s="13"/>
    </row>
    <row r="820" spans="24:24">
      <c r="X820" s="13"/>
    </row>
    <row r="821" spans="24:24">
      <c r="X821" s="13"/>
    </row>
    <row r="822" spans="24:24">
      <c r="X822" s="13"/>
    </row>
    <row r="823" spans="24:24">
      <c r="X823" s="13"/>
    </row>
    <row r="824" spans="24:24">
      <c r="X824" s="13"/>
    </row>
    <row r="825" spans="24:24">
      <c r="X825" s="13"/>
    </row>
    <row r="826" spans="24:24">
      <c r="X826" s="13"/>
    </row>
    <row r="827" spans="24:24">
      <c r="X827" s="13"/>
    </row>
    <row r="828" spans="24:24">
      <c r="X828" s="13"/>
    </row>
    <row r="829" spans="24:24">
      <c r="X829" s="13"/>
    </row>
    <row r="830" spans="24:24">
      <c r="X830" s="13"/>
    </row>
    <row r="831" spans="24:24">
      <c r="X831" s="13"/>
    </row>
    <row r="832" spans="24:24">
      <c r="X832" s="13"/>
    </row>
    <row r="833" spans="24:24">
      <c r="X833" s="13"/>
    </row>
    <row r="834" spans="24:24">
      <c r="X834" s="13"/>
    </row>
    <row r="835" spans="24:24">
      <c r="X835" s="13"/>
    </row>
    <row r="836" spans="24:24">
      <c r="X836" s="13"/>
    </row>
    <row r="837" spans="24:24">
      <c r="X837" s="13"/>
    </row>
    <row r="838" spans="24:24">
      <c r="X838" s="13"/>
    </row>
    <row r="839" spans="24:24">
      <c r="X839" s="13"/>
    </row>
    <row r="840" spans="24:24">
      <c r="X840" s="13"/>
    </row>
    <row r="841" spans="24:24">
      <c r="X841" s="13"/>
    </row>
    <row r="842" spans="24:24">
      <c r="X842" s="13"/>
    </row>
    <row r="843" spans="24:24">
      <c r="X843" s="13"/>
    </row>
    <row r="844" spans="24:24">
      <c r="X844" s="13"/>
    </row>
    <row r="845" spans="24:24">
      <c r="X845" s="13"/>
    </row>
    <row r="846" spans="24:24">
      <c r="X846" s="13"/>
    </row>
    <row r="847" spans="24:24">
      <c r="X847" s="13"/>
    </row>
    <row r="848" spans="24:24">
      <c r="X848" s="13"/>
    </row>
    <row r="849" spans="24:24">
      <c r="X849" s="13"/>
    </row>
    <row r="850" spans="24:24">
      <c r="X850" s="13"/>
    </row>
    <row r="851" spans="24:24">
      <c r="X851" s="13"/>
    </row>
    <row r="852" spans="24:24">
      <c r="X852" s="13"/>
    </row>
    <row r="853" spans="24:24">
      <c r="X853" s="13"/>
    </row>
    <row r="854" spans="24:24">
      <c r="X854" s="13"/>
    </row>
    <row r="855" spans="24:24">
      <c r="X855" s="13"/>
    </row>
    <row r="856" spans="24:24">
      <c r="X856" s="13"/>
    </row>
    <row r="857" spans="24:24">
      <c r="X857" s="13"/>
    </row>
    <row r="858" spans="24:24">
      <c r="X858" s="13"/>
    </row>
    <row r="859" spans="24:24">
      <c r="X859" s="13"/>
    </row>
    <row r="860" spans="24:24">
      <c r="X860" s="13"/>
    </row>
    <row r="861" spans="24:24">
      <c r="X861" s="13"/>
    </row>
    <row r="862" spans="24:24">
      <c r="X862" s="13"/>
    </row>
    <row r="863" spans="24:24">
      <c r="X863" s="13"/>
    </row>
    <row r="864" spans="24:24">
      <c r="X864" s="13"/>
    </row>
    <row r="865" spans="24:24">
      <c r="X865" s="13"/>
    </row>
    <row r="866" spans="24:24">
      <c r="X866" s="13"/>
    </row>
    <row r="867" spans="24:24">
      <c r="X867" s="13"/>
    </row>
    <row r="868" spans="24:24">
      <c r="X868" s="13"/>
    </row>
    <row r="869" spans="24:24">
      <c r="X869" s="13"/>
    </row>
    <row r="870" spans="24:24">
      <c r="X870" s="13"/>
    </row>
    <row r="871" spans="24:24">
      <c r="X871" s="13"/>
    </row>
    <row r="872" spans="24:24">
      <c r="X872" s="13"/>
    </row>
    <row r="873" spans="24:24">
      <c r="X873" s="13"/>
    </row>
    <row r="874" spans="24:24">
      <c r="X874" s="13"/>
    </row>
    <row r="875" spans="24:24">
      <c r="X875" s="13"/>
    </row>
    <row r="876" spans="24:24">
      <c r="X876" s="13"/>
    </row>
    <row r="877" spans="24:24">
      <c r="X877" s="13"/>
    </row>
    <row r="878" spans="24:24">
      <c r="X878" s="13"/>
    </row>
    <row r="879" spans="24:24">
      <c r="X879" s="13"/>
    </row>
    <row r="880" spans="24:24">
      <c r="X880" s="13"/>
    </row>
    <row r="881" spans="24:24">
      <c r="X881" s="13"/>
    </row>
    <row r="882" spans="24:24">
      <c r="X882" s="13"/>
    </row>
    <row r="883" spans="24:24">
      <c r="X883" s="13"/>
    </row>
    <row r="884" spans="24:24">
      <c r="X884" s="13"/>
    </row>
    <row r="885" spans="24:24">
      <c r="X885" s="13"/>
    </row>
    <row r="886" spans="24:24">
      <c r="X886" s="13"/>
    </row>
    <row r="887" spans="24:24">
      <c r="X887" s="13"/>
    </row>
    <row r="888" spans="24:24">
      <c r="X888" s="13"/>
    </row>
    <row r="889" spans="24:24">
      <c r="X889" s="13"/>
    </row>
    <row r="890" spans="24:24">
      <c r="X890" s="13"/>
    </row>
    <row r="891" spans="24:24">
      <c r="X891" s="13"/>
    </row>
    <row r="892" spans="24:24">
      <c r="X892" s="13"/>
    </row>
    <row r="893" spans="24:24">
      <c r="X893" s="13"/>
    </row>
    <row r="894" spans="24:24">
      <c r="X894" s="13"/>
    </row>
    <row r="895" spans="24:24">
      <c r="X895" s="13"/>
    </row>
    <row r="896" spans="24:24">
      <c r="X896" s="13"/>
    </row>
    <row r="897" spans="24:24">
      <c r="X897" s="13"/>
    </row>
    <row r="898" spans="24:24">
      <c r="X898" s="13"/>
    </row>
    <row r="899" spans="24:24">
      <c r="X899" s="13"/>
    </row>
    <row r="900" spans="24:24">
      <c r="X900" s="13"/>
    </row>
    <row r="901" spans="24:24">
      <c r="X901" s="13"/>
    </row>
    <row r="902" spans="24:24">
      <c r="X902" s="13"/>
    </row>
    <row r="903" spans="24:24">
      <c r="X903" s="13"/>
    </row>
    <row r="904" spans="24:24">
      <c r="X904" s="13"/>
    </row>
    <row r="905" spans="24:24">
      <c r="X905" s="13"/>
    </row>
    <row r="906" spans="24:24">
      <c r="X906" s="13"/>
    </row>
    <row r="907" spans="24:24">
      <c r="X907" s="13"/>
    </row>
    <row r="908" spans="24:24">
      <c r="X908" s="13"/>
    </row>
    <row r="909" spans="24:24">
      <c r="X909" s="13"/>
    </row>
    <row r="910" spans="24:24">
      <c r="X910" s="13"/>
    </row>
    <row r="911" spans="24:24">
      <c r="X911" s="13"/>
    </row>
    <row r="912" spans="24:24">
      <c r="X912" s="13"/>
    </row>
    <row r="913" spans="24:24">
      <c r="X913" s="13"/>
    </row>
    <row r="914" spans="24:24">
      <c r="X914" s="13"/>
    </row>
    <row r="915" spans="24:24">
      <c r="X915" s="13"/>
    </row>
    <row r="916" spans="24:24">
      <c r="X916" s="13"/>
    </row>
    <row r="917" spans="24:24">
      <c r="X917" s="13"/>
    </row>
    <row r="918" spans="24:24">
      <c r="X918" s="13"/>
    </row>
    <row r="919" spans="24:24">
      <c r="X919" s="13"/>
    </row>
    <row r="920" spans="24:24">
      <c r="X920" s="13"/>
    </row>
    <row r="921" spans="24:24">
      <c r="X921" s="13"/>
    </row>
    <row r="922" spans="24:24">
      <c r="X922" s="13"/>
    </row>
    <row r="923" spans="24:24">
      <c r="X923" s="13"/>
    </row>
    <row r="924" spans="24:24">
      <c r="X924" s="13"/>
    </row>
    <row r="925" spans="24:24">
      <c r="X925" s="13"/>
    </row>
    <row r="926" spans="24:24">
      <c r="X926" s="13"/>
    </row>
    <row r="927" spans="24:24">
      <c r="X927" s="13"/>
    </row>
    <row r="928" spans="24:24">
      <c r="X928" s="13"/>
    </row>
    <row r="929" spans="24:24">
      <c r="X929" s="13"/>
    </row>
    <row r="930" spans="24:24">
      <c r="X930" s="13"/>
    </row>
    <row r="931" spans="24:24">
      <c r="X931" s="13"/>
    </row>
    <row r="932" spans="24:24">
      <c r="X932" s="13"/>
    </row>
    <row r="933" spans="24:24">
      <c r="X933" s="13"/>
    </row>
    <row r="934" spans="24:24">
      <c r="X934" s="13"/>
    </row>
    <row r="935" spans="24:24">
      <c r="X935" s="13"/>
    </row>
    <row r="936" spans="24:24">
      <c r="X936" s="13"/>
    </row>
    <row r="937" spans="24:24">
      <c r="X937" s="13"/>
    </row>
    <row r="938" spans="24:24">
      <c r="X938" s="13"/>
    </row>
    <row r="939" spans="24:24">
      <c r="X939" s="13"/>
    </row>
    <row r="940" spans="24:24">
      <c r="X940" s="13"/>
    </row>
    <row r="941" spans="24:24">
      <c r="X941" s="13"/>
    </row>
    <row r="942" spans="24:24">
      <c r="X942" s="13"/>
    </row>
    <row r="943" spans="24:24">
      <c r="X943" s="13"/>
    </row>
    <row r="944" spans="24:24">
      <c r="X944" s="13"/>
    </row>
    <row r="945" spans="24:24">
      <c r="X945" s="13"/>
    </row>
    <row r="946" spans="24:24">
      <c r="X946" s="13"/>
    </row>
    <row r="947" spans="24:24">
      <c r="X947" s="13"/>
    </row>
    <row r="948" spans="24:24">
      <c r="X948" s="13"/>
    </row>
    <row r="949" spans="24:24">
      <c r="X949" s="13"/>
    </row>
    <row r="950" spans="24:24">
      <c r="X950" s="13"/>
    </row>
    <row r="951" spans="24:24">
      <c r="X951" s="13"/>
    </row>
    <row r="952" spans="24:24">
      <c r="X952" s="13"/>
    </row>
    <row r="953" spans="24:24">
      <c r="X953" s="13"/>
    </row>
    <row r="954" spans="24:24">
      <c r="X954" s="13"/>
    </row>
    <row r="955" spans="24:24">
      <c r="X955" s="13"/>
    </row>
    <row r="956" spans="24:24">
      <c r="X956" s="13"/>
    </row>
    <row r="957" spans="24:24">
      <c r="X957" s="13"/>
    </row>
    <row r="958" spans="24:24">
      <c r="X958" s="13"/>
    </row>
    <row r="959" spans="24:24">
      <c r="X959" s="13"/>
    </row>
    <row r="960" spans="24:24">
      <c r="X960" s="13"/>
    </row>
    <row r="961" spans="24:24">
      <c r="X961" s="13"/>
    </row>
    <row r="962" spans="24:24">
      <c r="X962" s="13"/>
    </row>
    <row r="963" spans="24:24">
      <c r="X963" s="13"/>
    </row>
    <row r="964" spans="24:24">
      <c r="X964" s="13"/>
    </row>
    <row r="965" spans="24:24">
      <c r="X965" s="13"/>
    </row>
    <row r="966" spans="24:24">
      <c r="X966" s="13"/>
    </row>
    <row r="967" spans="24:24">
      <c r="X967" s="13"/>
    </row>
    <row r="968" spans="24:24">
      <c r="X968" s="13"/>
    </row>
    <row r="969" spans="24:24">
      <c r="X969" s="13"/>
    </row>
    <row r="970" spans="24:24">
      <c r="X970" s="13"/>
    </row>
    <row r="971" spans="24:24">
      <c r="X971" s="13"/>
    </row>
    <row r="972" spans="24:24">
      <c r="X972" s="13"/>
    </row>
    <row r="973" spans="24:24">
      <c r="X973" s="13"/>
    </row>
    <row r="974" spans="24:24">
      <c r="X974" s="13"/>
    </row>
    <row r="975" spans="24:24">
      <c r="X975" s="13"/>
    </row>
    <row r="976" spans="24:24">
      <c r="X976" s="13"/>
    </row>
    <row r="977" spans="24:24">
      <c r="X977" s="13"/>
    </row>
    <row r="978" spans="24:24">
      <c r="X978" s="13"/>
    </row>
    <row r="979" spans="24:24">
      <c r="X979" s="13"/>
    </row>
    <row r="980" spans="24:24">
      <c r="X980" s="13"/>
    </row>
    <row r="981" spans="24:24">
      <c r="X981" s="13"/>
    </row>
    <row r="982" spans="24:24">
      <c r="X982" s="13"/>
    </row>
    <row r="983" spans="24:24">
      <c r="X983" s="13"/>
    </row>
    <row r="984" spans="24:24">
      <c r="X984" s="13"/>
    </row>
    <row r="985" spans="24:24">
      <c r="X985" s="13"/>
    </row>
    <row r="986" spans="24:24">
      <c r="X986" s="13"/>
    </row>
    <row r="987" spans="24:24">
      <c r="X987" s="13"/>
    </row>
    <row r="988" spans="24:24">
      <c r="X988" s="13"/>
    </row>
    <row r="989" spans="24:24">
      <c r="X989" s="13"/>
    </row>
    <row r="990" spans="24:24">
      <c r="X990" s="13"/>
    </row>
    <row r="991" spans="24:24">
      <c r="X991" s="13"/>
    </row>
    <row r="992" spans="24:24">
      <c r="X992" s="13"/>
    </row>
    <row r="993" spans="24:24">
      <c r="X993" s="13"/>
    </row>
    <row r="994" spans="24:24">
      <c r="X994" s="13"/>
    </row>
    <row r="995" spans="24:24">
      <c r="X995" s="13"/>
    </row>
    <row r="996" spans="24:24">
      <c r="X996" s="13"/>
    </row>
    <row r="997" spans="24:24">
      <c r="X997" s="13"/>
    </row>
    <row r="998" spans="24:24">
      <c r="X998" s="13"/>
    </row>
    <row r="999" spans="24:24">
      <c r="X999" s="13"/>
    </row>
    <row r="1000" spans="24:24">
      <c r="X1000" s="13"/>
    </row>
    <row r="1001" spans="24:24">
      <c r="X1001" s="13"/>
    </row>
    <row r="1002" spans="24:24">
      <c r="X1002" s="13"/>
    </row>
    <row r="1003" spans="24:24">
      <c r="X1003" s="13"/>
    </row>
    <row r="1004" spans="24:24">
      <c r="X1004" s="13"/>
    </row>
    <row r="1005" spans="24:24">
      <c r="X1005" s="13"/>
    </row>
    <row r="1006" spans="24:24">
      <c r="X1006" s="13"/>
    </row>
    <row r="1007" spans="24:24">
      <c r="X1007" s="13"/>
    </row>
    <row r="1008" spans="24:24">
      <c r="X1008" s="13"/>
    </row>
    <row r="1009" spans="24:24">
      <c r="X1009" s="13"/>
    </row>
    <row r="1010" spans="24:24">
      <c r="X1010" s="13"/>
    </row>
  </sheetData>
  <autoFilter ref="B6:U25" xr:uid="{00000000-0009-0000-0000-000002000000}">
    <sortState xmlns:xlrd2="http://schemas.microsoft.com/office/spreadsheetml/2017/richdata2" ref="B6:U25">
      <sortCondition ref="E6:E25"/>
    </sortState>
  </autoFilter>
  <mergeCells count="1">
    <mergeCell ref="J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Retiros Almacen 1 6552487</vt:lpstr>
      <vt:lpstr>Retiros Almacen 2 7226075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Marca</cp:lastModifiedBy>
  <dcterms:modified xsi:type="dcterms:W3CDTF">2026-06-29T21:06:22Z</dcterms:modified>
</cp:coreProperties>
</file>
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 -015\Downloads\"/>
    </mc:Choice>
  </mc:AlternateContent>
  <xr:revisionPtr revIDLastSave="0" documentId="13_ncr:1_{836D7CAB-DC1E-4C3A-BA04-F1EC1B09B730}" xr6:coauthVersionLast="47" xr6:coauthVersionMax="47" xr10:uidLastSave="{00000000-0000-0000-0000-000000000000}"/>
  <bookViews>
    <workbookView xWindow="-113" yWindow="-113" windowWidth="24267" windowHeight="13023" activeTab="1" xr2:uid="{00000000-000D-0000-FFFF-FFFF00000000}"/>
  </bookViews>
  <sheets>
    <sheet name="COSTOS" sheetId="4" r:id="rId1"/>
    <sheet name="Inventario 6552487" sheetId="5" r:id="rId2"/>
    <sheet name="Inventario 7226075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6" l="1"/>
  <c r="F15" i="6"/>
  <c r="F7" i="6"/>
  <c r="F5" i="6"/>
  <c r="F6" i="6"/>
  <c r="F8" i="6"/>
  <c r="F9" i="6"/>
  <c r="F4" i="6"/>
  <c r="F11" i="6"/>
  <c r="F10" i="6"/>
  <c r="F8" i="5"/>
  <c r="F9" i="5"/>
  <c r="F10" i="5"/>
  <c r="F11" i="5"/>
  <c r="F12" i="5"/>
  <c r="F13" i="5"/>
  <c r="F7" i="5"/>
  <c r="F5" i="5"/>
  <c r="F15" i="5" s="1"/>
  <c r="F16" i="5" l="1"/>
  <c r="F17" i="5"/>
  <c r="F16" i="6"/>
</calcChain>
</file>

<file path=xl/sharedStrings.xml><?xml version="1.0" encoding="utf-8"?>
<sst xmlns="http://schemas.openxmlformats.org/spreadsheetml/2006/main" count="46" uniqueCount="29">
  <si>
    <t>Kit Señalización Profesional Para Tienda Autorizada Amarillo</t>
  </si>
  <si>
    <t>Pack De Manuales  Cliente Representantes</t>
  </si>
  <si>
    <t>Rompevientos Representantes Mercado Pago | XL</t>
  </si>
  <si>
    <t>Playera Dry-fit Representante Mercado Pago</t>
  </si>
  <si>
    <t>Mochila Mercado Pago</t>
  </si>
  <si>
    <t>Lanyard Representante  Mercado Pago</t>
  </si>
  <si>
    <t>Gorra Representante Mercado Pago</t>
  </si>
  <si>
    <t>ITEM</t>
  </si>
  <si>
    <t>COSTO</t>
  </si>
  <si>
    <t>Pack De 4 Cordones  Representante</t>
  </si>
  <si>
    <t>Playera Dry-fit Representante Mercado Pago | Hombre | M</t>
  </si>
  <si>
    <t>Playera Dry-fit Representante Mercado Pago | Hombre | XL</t>
  </si>
  <si>
    <t>Playera Dry-fit Representante Mercado Pago | Mujer | G</t>
  </si>
  <si>
    <t>Playera Dry-fit Representante Mercado Pago | Mujer | XL</t>
  </si>
  <si>
    <t>Rompevientos Representantes Mercado Pago | L</t>
  </si>
  <si>
    <t>Rompevientos Representantes Mercado Pago | S</t>
  </si>
  <si>
    <t>Producto</t>
  </si>
  <si>
    <t>Costo por pieza</t>
  </si>
  <si>
    <t>.</t>
  </si>
  <si>
    <t>Total</t>
  </si>
  <si>
    <t>Costo por Pack</t>
  </si>
  <si>
    <t>Sub Total</t>
  </si>
  <si>
    <t>IVA</t>
  </si>
  <si>
    <t>Piezas en almacén</t>
  </si>
  <si>
    <t>Playera Dry-fit Representante Mercado Pago | Hombre | G</t>
  </si>
  <si>
    <t xml:space="preserve">Numero de Item </t>
  </si>
  <si>
    <t>Costo por Kit</t>
  </si>
  <si>
    <r>
      <t xml:space="preserve">Kit Para Representantes De Mercado Pago - Hombre | G </t>
    </r>
    <r>
      <rPr>
        <b/>
        <sz val="10"/>
        <color theme="5"/>
        <rFont val="Arial"/>
        <family val="2"/>
      </rPr>
      <t>Incluye: 1 Mochila, 1 Gorra, 1 Playera y 2 Lanyard</t>
    </r>
  </si>
  <si>
    <t>Numero de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</si>
</sst>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0"/>
      <name val="Arial"/>
      <family val="2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5" fillId="3" borderId="0" xfId="0" applyFont="1" applyFill="1" applyAlignment="1">
      <alignment horizontal="center"/>
    </xf>
    <xf numFmtId="164" fontId="5" fillId="3" borderId="0" xfId="0" applyNumberFormat="1" applyFont="1" applyFill="1"/>
    <xf numFmtId="0" fontId="7" fillId="4" borderId="0" xfId="0" applyFont="1" applyFill="1" applyAlignment="1">
      <alignment horizontal="center"/>
    </xf>
    <xf numFmtId="164" fontId="0" fillId="4" borderId="0" xfId="0" applyNumberFormat="1" applyFill="1"/>
    <xf numFmtId="0" fontId="8" fillId="5" borderId="0" xfId="0" applyFont="1" applyFill="1" applyAlignment="1">
      <alignment horizontal="center"/>
    </xf>
    <xf numFmtId="164" fontId="8" fillId="5" borderId="0" xfId="0" applyNumberFormat="1" applyFont="1" applyFill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A0F1-8377-4073-90BE-C74A52D70C7A}">
  <dimension ref="A1:G9"/>
  <sheetViews>
    <sheetView workbookViewId="0">
      <selection activeCell="G6" sqref="G6"/>
    </sheetView>
  </sheetViews>
  <sheetFormatPr baseColWidth="10" defaultRowHeight="12.55" x14ac:dyDescent="0.2"/>
  <cols>
    <col min="1" max="1" width="42.33203125" customWidth="1"/>
  </cols>
  <sheetData>
    <row r="1" spans="1:7" x14ac:dyDescent="0.2">
      <c r="A1" s="22" t="s">
        <v>7</v>
      </c>
      <c r="B1" s="20" t="s">
        <v>8</v>
      </c>
    </row>
    <row r="2" spans="1:7" x14ac:dyDescent="0.2">
      <c r="A2" s="22"/>
      <c r="B2" s="20"/>
    </row>
    <row r="3" spans="1:7" ht="29.45" customHeight="1" x14ac:dyDescent="0.2">
      <c r="A3" s="2" t="s">
        <v>4</v>
      </c>
      <c r="B3" s="1">
        <v>335</v>
      </c>
    </row>
    <row r="4" spans="1:7" ht="28.2" customHeight="1" x14ac:dyDescent="0.2">
      <c r="A4" s="2" t="s">
        <v>3</v>
      </c>
      <c r="B4" s="1">
        <v>249.5</v>
      </c>
      <c r="G4" s="5"/>
    </row>
    <row r="5" spans="1:7" ht="24.45" customHeight="1" x14ac:dyDescent="0.2">
      <c r="A5" s="2" t="s">
        <v>5</v>
      </c>
      <c r="B5" s="1">
        <v>35</v>
      </c>
    </row>
    <row r="6" spans="1:7" ht="28.8" customHeight="1" x14ac:dyDescent="0.2">
      <c r="A6" s="2" t="s">
        <v>6</v>
      </c>
      <c r="B6" s="1">
        <v>69.5</v>
      </c>
    </row>
    <row r="7" spans="1:7" ht="31.95" customHeight="1" x14ac:dyDescent="0.2">
      <c r="A7" s="2" t="s">
        <v>2</v>
      </c>
      <c r="B7" s="1">
        <v>416</v>
      </c>
    </row>
    <row r="8" spans="1:7" ht="33.200000000000003" customHeight="1" x14ac:dyDescent="0.2">
      <c r="A8" s="3" t="s">
        <v>1</v>
      </c>
    </row>
    <row r="9" spans="1:7" ht="36.35" customHeight="1" x14ac:dyDescent="0.2">
      <c r="A9" s="2" t="s">
        <v>0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24F1-6495-4E27-8281-C54807BCF616}">
  <dimension ref="A1:F17"/>
  <sheetViews>
    <sheetView tabSelected="1" workbookViewId="0">
      <selection activeCell="B23" sqref="B23"/>
    </sheetView>
  </sheetViews>
  <sheetFormatPr baseColWidth="10" defaultRowHeight="12.55" x14ac:dyDescent="0.2"/>
  <cols>
    <col min="1" max="2" width="47.109375" customWidth="1"/>
    <col min="3" max="3" width="21.88671875" customWidth="1"/>
    <col min="4" max="5" width="19.21875" style="4" customWidth="1"/>
  </cols>
  <sheetData>
    <row r="1" spans="1:6" ht="13.15" customHeight="1" x14ac:dyDescent="0.2">
      <c r="A1" s="19" t="s">
        <v>16</v>
      </c>
      <c r="B1" s="19" t="s">
        <v>28</v>
      </c>
      <c r="C1" s="19" t="s">
        <v>23</v>
      </c>
      <c r="D1" s="20" t="s">
        <v>17</v>
      </c>
      <c r="E1" s="20" t="s">
        <v>20</v>
      </c>
      <c r="F1" s="21" t="s">
        <v>19</v>
      </c>
    </row>
    <row r="2" spans="1:6" ht="13.15" customHeight="1" x14ac:dyDescent="0.2">
      <c r="A2" s="19"/>
      <c r="B2" s="19"/>
      <c r="C2" s="19"/>
      <c r="D2" s="20"/>
      <c r="E2" s="20"/>
      <c r="F2" s="21"/>
    </row>
    <row r="3" spans="1:6" ht="13.15" customHeight="1" x14ac:dyDescent="0.2">
      <c r="A3" s="19"/>
      <c r="B3" s="19"/>
      <c r="C3" s="19"/>
      <c r="D3" s="20"/>
      <c r="E3" s="20"/>
      <c r="F3" s="21"/>
    </row>
    <row r="4" spans="1:6" ht="25.05" x14ac:dyDescent="0.2">
      <c r="A4" s="8" t="s">
        <v>0</v>
      </c>
      <c r="B4" s="23">
        <v>4185624562</v>
      </c>
      <c r="C4" s="3">
        <v>17</v>
      </c>
    </row>
    <row r="5" spans="1:6" x14ac:dyDescent="0.2">
      <c r="A5" s="8" t="s">
        <v>9</v>
      </c>
      <c r="B5" s="23">
        <v>3334304802</v>
      </c>
      <c r="C5" s="3">
        <v>18</v>
      </c>
      <c r="D5" s="6">
        <v>35</v>
      </c>
      <c r="E5" s="6">
        <v>140</v>
      </c>
      <c r="F5" s="5">
        <f>E5*C5</f>
        <v>2520</v>
      </c>
    </row>
    <row r="6" spans="1:6" x14ac:dyDescent="0.2">
      <c r="A6" s="8" t="s">
        <v>1</v>
      </c>
      <c r="B6" s="23">
        <v>3053828944</v>
      </c>
      <c r="C6" s="3">
        <v>316</v>
      </c>
      <c r="D6" s="7" t="s">
        <v>18</v>
      </c>
      <c r="E6" s="7"/>
    </row>
    <row r="7" spans="1:6" x14ac:dyDescent="0.2">
      <c r="A7" s="8" t="s">
        <v>10</v>
      </c>
      <c r="B7" s="23"/>
      <c r="C7" s="3">
        <v>131</v>
      </c>
      <c r="D7" s="6">
        <v>249.5</v>
      </c>
      <c r="E7" s="6"/>
      <c r="F7" s="5">
        <f>D7*C7</f>
        <v>32684.5</v>
      </c>
    </row>
    <row r="8" spans="1:6" ht="25.05" x14ac:dyDescent="0.2">
      <c r="A8" s="8" t="s">
        <v>11</v>
      </c>
      <c r="B8" s="23">
        <v>4124313398</v>
      </c>
      <c r="C8" s="3">
        <v>73</v>
      </c>
      <c r="D8" s="6">
        <v>249.5</v>
      </c>
      <c r="E8" s="6"/>
      <c r="F8" s="5">
        <f t="shared" ref="F8:F13" si="0">D8*C8</f>
        <v>18213.5</v>
      </c>
    </row>
    <row r="9" spans="1:6" x14ac:dyDescent="0.2">
      <c r="A9" s="8" t="s">
        <v>12</v>
      </c>
      <c r="B9" s="23">
        <v>4124198104</v>
      </c>
      <c r="C9" s="3">
        <v>135</v>
      </c>
      <c r="D9" s="6">
        <v>249.5</v>
      </c>
      <c r="E9" s="6"/>
      <c r="F9" s="5">
        <f t="shared" si="0"/>
        <v>33682.5</v>
      </c>
    </row>
    <row r="10" spans="1:6" x14ac:dyDescent="0.2">
      <c r="A10" s="8" t="s">
        <v>13</v>
      </c>
      <c r="B10" s="23">
        <v>4124198104</v>
      </c>
      <c r="C10" s="3">
        <v>33</v>
      </c>
      <c r="D10" s="6">
        <v>249.5</v>
      </c>
      <c r="E10" s="6"/>
      <c r="F10" s="5">
        <f t="shared" si="0"/>
        <v>8233.5</v>
      </c>
    </row>
    <row r="11" spans="1:6" x14ac:dyDescent="0.2">
      <c r="A11" s="8" t="s">
        <v>14</v>
      </c>
      <c r="B11" s="23">
        <v>2353856155</v>
      </c>
      <c r="C11" s="3">
        <v>47</v>
      </c>
      <c r="D11" s="6">
        <v>416</v>
      </c>
      <c r="E11" s="6"/>
      <c r="F11" s="5">
        <f t="shared" si="0"/>
        <v>19552</v>
      </c>
    </row>
    <row r="12" spans="1:6" x14ac:dyDescent="0.2">
      <c r="A12" s="8" t="s">
        <v>15</v>
      </c>
      <c r="B12" s="23">
        <v>2353856155</v>
      </c>
      <c r="C12" s="3">
        <v>14</v>
      </c>
      <c r="D12" s="6">
        <v>416</v>
      </c>
      <c r="E12" s="6"/>
      <c r="F12" s="5">
        <f t="shared" si="0"/>
        <v>5824</v>
      </c>
    </row>
    <row r="13" spans="1:6" x14ac:dyDescent="0.2">
      <c r="A13" s="8" t="s">
        <v>2</v>
      </c>
      <c r="B13" s="23">
        <v>2353856155</v>
      </c>
      <c r="C13" s="3">
        <v>23</v>
      </c>
      <c r="D13" s="6">
        <v>416</v>
      </c>
      <c r="E13" s="6"/>
      <c r="F13" s="5">
        <f t="shared" si="0"/>
        <v>9568</v>
      </c>
    </row>
    <row r="15" spans="1:6" x14ac:dyDescent="0.2">
      <c r="E15" s="9" t="s">
        <v>21</v>
      </c>
      <c r="F15" s="10">
        <f>SUM(F5:F14)</f>
        <v>130278</v>
      </c>
    </row>
    <row r="16" spans="1:6" x14ac:dyDescent="0.2">
      <c r="E16" s="11" t="s">
        <v>22</v>
      </c>
      <c r="F16" s="12">
        <f>F15*0.16</f>
        <v>20844.48</v>
      </c>
    </row>
    <row r="17" spans="5:6" ht="13.15" x14ac:dyDescent="0.25">
      <c r="E17" s="13" t="s">
        <v>19</v>
      </c>
      <c r="F17" s="14">
        <f>F15+F16</f>
        <v>151122.48000000001</v>
      </c>
    </row>
  </sheetData>
  <mergeCells count="6">
    <mergeCell ref="A1:A3"/>
    <mergeCell ref="C1:C3"/>
    <mergeCell ref="D1:D3"/>
    <mergeCell ref="F1:F3"/>
    <mergeCell ref="E1:E3"/>
    <mergeCell ref="B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5959-C9A6-4C90-8485-27320D49EE13}">
  <dimension ref="A1:F17"/>
  <sheetViews>
    <sheetView workbookViewId="0">
      <selection activeCell="B7" sqref="B7"/>
    </sheetView>
  </sheetViews>
  <sheetFormatPr baseColWidth="10" defaultRowHeight="12.55" x14ac:dyDescent="0.2"/>
  <cols>
    <col min="1" max="2" width="47.109375" customWidth="1"/>
    <col min="3" max="3" width="21.88671875" customWidth="1"/>
    <col min="4" max="5" width="19.21875" style="4" customWidth="1"/>
  </cols>
  <sheetData>
    <row r="1" spans="1:6" ht="13.15" customHeight="1" x14ac:dyDescent="0.2">
      <c r="A1" s="19" t="s">
        <v>16</v>
      </c>
      <c r="B1" s="19" t="s">
        <v>25</v>
      </c>
      <c r="C1" s="19" t="s">
        <v>23</v>
      </c>
      <c r="D1" s="20" t="s">
        <v>17</v>
      </c>
      <c r="E1" s="20" t="s">
        <v>26</v>
      </c>
      <c r="F1" s="21" t="s">
        <v>19</v>
      </c>
    </row>
    <row r="2" spans="1:6" ht="13.15" customHeight="1" x14ac:dyDescent="0.2">
      <c r="A2" s="19"/>
      <c r="B2" s="19"/>
      <c r="C2" s="19"/>
      <c r="D2" s="20"/>
      <c r="E2" s="20"/>
      <c r="F2" s="21"/>
    </row>
    <row r="3" spans="1:6" ht="13.15" customHeight="1" x14ac:dyDescent="0.2">
      <c r="A3" s="19"/>
      <c r="B3" s="19"/>
      <c r="C3" s="19"/>
      <c r="D3" s="20"/>
      <c r="E3" s="20"/>
      <c r="F3" s="21"/>
    </row>
    <row r="4" spans="1:6" ht="35.700000000000003" customHeight="1" x14ac:dyDescent="0.2">
      <c r="A4" s="18" t="s">
        <v>27</v>
      </c>
      <c r="B4" s="15">
        <v>1478754818</v>
      </c>
      <c r="C4" s="3">
        <v>146</v>
      </c>
      <c r="D4" s="3"/>
      <c r="E4" s="1">
        <v>724</v>
      </c>
      <c r="F4" s="1">
        <f>C4*E4</f>
        <v>105704</v>
      </c>
    </row>
    <row r="5" spans="1:6" ht="25.7" x14ac:dyDescent="0.2">
      <c r="A5" s="18" t="s">
        <v>27</v>
      </c>
      <c r="B5" s="15">
        <v>1478754818</v>
      </c>
      <c r="C5" s="3">
        <v>1</v>
      </c>
      <c r="D5" s="1"/>
      <c r="E5" s="1">
        <v>724</v>
      </c>
      <c r="F5" s="1">
        <f t="shared" ref="F5:F9" si="0">C5*E5</f>
        <v>724</v>
      </c>
    </row>
    <row r="6" spans="1:6" ht="25.7" x14ac:dyDescent="0.2">
      <c r="A6" s="18" t="s">
        <v>27</v>
      </c>
      <c r="B6" s="15">
        <v>1478754818</v>
      </c>
      <c r="C6" s="3">
        <v>33</v>
      </c>
      <c r="D6" s="16"/>
      <c r="E6" s="17">
        <v>724</v>
      </c>
      <c r="F6" s="1">
        <f t="shared" si="0"/>
        <v>23892</v>
      </c>
    </row>
    <row r="7" spans="1:6" ht="25.7" x14ac:dyDescent="0.2">
      <c r="A7" s="18" t="s">
        <v>27</v>
      </c>
      <c r="B7" s="15">
        <v>4149715896</v>
      </c>
      <c r="C7" s="3">
        <v>56</v>
      </c>
      <c r="D7" s="1"/>
      <c r="E7" s="1">
        <v>724</v>
      </c>
      <c r="F7" s="1">
        <f>C7*E7</f>
        <v>40544</v>
      </c>
    </row>
    <row r="8" spans="1:6" ht="25.7" x14ac:dyDescent="0.2">
      <c r="A8" s="18" t="s">
        <v>27</v>
      </c>
      <c r="B8" s="15">
        <v>4149715896</v>
      </c>
      <c r="C8" s="3">
        <v>11</v>
      </c>
      <c r="D8" s="1"/>
      <c r="E8" s="1">
        <v>724</v>
      </c>
      <c r="F8" s="1">
        <f t="shared" si="0"/>
        <v>7964</v>
      </c>
    </row>
    <row r="9" spans="1:6" ht="25.7" x14ac:dyDescent="0.2">
      <c r="A9" s="18" t="s">
        <v>27</v>
      </c>
      <c r="B9" s="15">
        <v>4149715896</v>
      </c>
      <c r="C9" s="3">
        <v>7</v>
      </c>
      <c r="D9" s="1"/>
      <c r="E9" s="1">
        <v>724</v>
      </c>
      <c r="F9" s="1">
        <f t="shared" si="0"/>
        <v>5068</v>
      </c>
    </row>
    <row r="10" spans="1:6" ht="27.55" customHeight="1" x14ac:dyDescent="0.2">
      <c r="A10" s="18" t="s">
        <v>24</v>
      </c>
      <c r="B10" s="15">
        <v>4124313398</v>
      </c>
      <c r="C10" s="3">
        <v>200</v>
      </c>
      <c r="D10" s="1">
        <v>249.5</v>
      </c>
      <c r="E10" s="1"/>
      <c r="F10" s="1">
        <f t="shared" ref="F10:F11" si="1">D10*C10</f>
        <v>49900</v>
      </c>
    </row>
    <row r="11" spans="1:6" ht="32.6" customHeight="1" x14ac:dyDescent="0.2">
      <c r="A11" s="18" t="s">
        <v>13</v>
      </c>
      <c r="B11" s="15">
        <v>4124198104</v>
      </c>
      <c r="C11" s="3">
        <v>1</v>
      </c>
      <c r="D11" s="1">
        <v>249.5</v>
      </c>
      <c r="E11" s="1"/>
      <c r="F11" s="1">
        <f t="shared" si="1"/>
        <v>249.5</v>
      </c>
    </row>
    <row r="12" spans="1:6" x14ac:dyDescent="0.2">
      <c r="A12" s="8"/>
      <c r="B12" s="8"/>
      <c r="C12" s="3"/>
      <c r="D12" s="6"/>
      <c r="E12" s="6"/>
      <c r="F12" s="5"/>
    </row>
    <row r="13" spans="1:6" x14ac:dyDescent="0.2">
      <c r="A13" s="8"/>
      <c r="B13" s="8"/>
      <c r="C13" s="3"/>
      <c r="D13" s="6"/>
      <c r="E13" s="6"/>
      <c r="F13" s="5"/>
    </row>
    <row r="15" spans="1:6" x14ac:dyDescent="0.2">
      <c r="E15" s="9" t="s">
        <v>21</v>
      </c>
      <c r="F15" s="10">
        <f>SUM(F4:F14)</f>
        <v>234045.5</v>
      </c>
    </row>
    <row r="16" spans="1:6" x14ac:dyDescent="0.2">
      <c r="E16" s="11" t="s">
        <v>22</v>
      </c>
      <c r="F16" s="12">
        <f>F15*0.16</f>
        <v>37447.279999999999</v>
      </c>
    </row>
    <row r="17" spans="5:6" ht="13.15" x14ac:dyDescent="0.25">
      <c r="E17" s="13" t="s">
        <v>19</v>
      </c>
      <c r="F17" s="14">
        <f>F15+F16</f>
        <v>271492.78000000003</v>
      </c>
    </row>
  </sheetData>
  <mergeCells count="6">
    <mergeCell ref="A1:A3"/>
    <mergeCell ref="C1:C3"/>
    <mergeCell ref="D1:D3"/>
    <mergeCell ref="E1:E3"/>
    <mergeCell ref="F1:F3"/>
    <mergeCell ref="B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</vt:lpstr>
      <vt:lpstr>Inventario 6552487</vt:lpstr>
      <vt:lpstr>Inventario 7226075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-015</dc:creator>
  <cp:lastModifiedBy>Brian Marca</cp:lastModifiedBy>
  <dcterms:created xsi:type="dcterms:W3CDTF">2026-07-03T20:27:10Z</dcterms:created>
  <dcterms:modified xsi:type="dcterms:W3CDTF">2026-07-06T22:22:31Z</dcterms:modified>
</cp:coreProperties>
</file>